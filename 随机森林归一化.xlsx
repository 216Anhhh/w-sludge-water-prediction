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<sst xmlns="http://schemas.openxmlformats.org/spreadsheetml/2006/main" count="29" uniqueCount="29">
  <si>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日期</t>
  </si>
  <si>
    <t>Qoutm3/d</t>
  </si>
  <si>
    <t>Qout归一化</t>
  </si>
  <si>
    <t>BOD5 (mg/l)</t>
  </si>
  <si>
    <t>BOD5 (mg/l)归一化</t>
  </si>
  <si>
    <t>CODcr(mg/l)</t>
  </si>
  <si>
    <t>CODcr(mg/l)归一化</t>
  </si>
  <si>
    <t>SS(mg/l)</t>
  </si>
  <si>
    <t>SS(mg/l)归一化</t>
  </si>
  <si>
    <t>NH3-N(mg/l)</t>
  </si>
  <si>
    <t>NH3-N(mg/l)归一化</t>
  </si>
  <si>
    <t>TP(mg/l)</t>
  </si>
  <si>
    <t>TP(mg/l)归一化</t>
  </si>
  <si>
    <t>TN(mg/l)</t>
  </si>
  <si>
    <t>TN(mg/l)归一化</t>
  </si>
  <si>
    <t>Tin℃</t>
  </si>
  <si>
    <t>Tin℃归一化</t>
  </si>
  <si>
    <t>污泥总量</t>
  </si>
  <si>
    <t>污泥总量归一化</t>
  </si>
  <si>
    <t>MLSS</t>
  </si>
  <si>
    <t>MLSS归一化</t>
  </si>
  <si>
    <t>F/M(%)</t>
  </si>
  <si>
    <t>F/M(%)归一化</t>
  </si>
  <si>
    <t>SRT</t>
  </si>
  <si>
    <t>SRT归一化</t>
  </si>
  <si>
    <t>MLVSS/MLSS</t>
  </si>
  <si>
    <t>MLV/SS/MLSS归一化</t>
  </si>
  <si>
    <t>SVI</t>
  </si>
  <si>
    <t>SVI归一化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</si>
</sst>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0.0_ "/>
    <numFmt numFmtId="179" formatCode="0.00_);[Red]\(0.00\)"/>
    <numFmt numFmtId="180" formatCode="0.0_);[Red]\(0.0\)"/>
    <numFmt numFmtId="181" formatCode="0.0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2" fillId="0" borderId="1" xfId="49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2"/>
  <sheetViews>
    <sheetView tabSelected="1" workbookViewId="0">
      <selection activeCell="D2" sqref="D2"/>
    </sheetView>
  </sheetViews>
  <sheetFormatPr defaultColWidth="8.72727272727273" defaultRowHeight="14"/>
  <cols>
    <col min="1" max="1" width="11.8181818181818" customWidth="1"/>
    <col min="2" max="2" width="11.8181818181818" style="1" customWidth="1"/>
    <col min="3" max="3" width="14" style="2" customWidth="1"/>
    <col min="4" max="4" width="12.9090909090909" customWidth="1"/>
    <col min="5" max="5" width="19.6363636363636" style="3" customWidth="1"/>
    <col min="6" max="6" width="12.9090909090909" customWidth="1"/>
    <col min="7" max="7" width="19.6363636363636" style="3" customWidth="1"/>
    <col min="8" max="8" width="9.54545454545454" customWidth="1"/>
    <col min="9" max="9" width="16.2727272727273" customWidth="1"/>
    <col min="10" max="10" width="12.9090909090909" customWidth="1"/>
    <col min="11" max="11" width="19.6363636363636" customWidth="1"/>
    <col min="12" max="12" width="9.54545454545454" customWidth="1"/>
    <col min="13" max="13" width="16.2727272727273" style="4" customWidth="1"/>
    <col min="14" max="14" width="9.54545454545454" customWidth="1"/>
    <col min="15" max="15" width="16.2727272727273" customWidth="1"/>
    <col min="16" max="16" width="11.8181818181818" style="1" customWidth="1"/>
    <col min="17" max="17" width="18.5454545454545" customWidth="1"/>
    <col min="18" max="18" width="11.8181818181818" customWidth="1"/>
    <col min="19" max="19" width="16.2727272727273" customWidth="1"/>
    <col min="20" max="20" width="9.54545454545454" customWidth="1"/>
    <col min="21" max="21" width="11.8181818181818" customWidth="1"/>
    <col min="22" max="22" width="7.54545454545455" customWidth="1"/>
    <col min="23" max="23" width="14" customWidth="1"/>
    <col min="24" max="24" width="7.54545454545455" customWidth="1"/>
    <col min="25" max="25" width="10.6363636363636" customWidth="1"/>
    <col min="26" max="26" width="11.8181818181818" customWidth="1"/>
    <col min="27" max="27" width="18.5454545454545" customWidth="1"/>
    <col min="28" max="28" width="8.54545454545454" customWidth="1"/>
    <col min="29" max="29" width="10.6363636363636" style="5" customWidth="1"/>
  </cols>
  <sheetData>
    <row r="1" spans="1:29">
      <c r="A1" s="6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8" t="s">
        <v>5</v>
      </c>
      <c r="G1" s="9" t="s">
        <v>6</v>
      </c>
      <c r="H1" s="8" t="s">
        <v>7</v>
      </c>
      <c r="I1" s="10" t="s">
        <v>8</v>
      </c>
      <c r="J1" s="8" t="s">
        <v>9</v>
      </c>
      <c r="K1" s="10" t="s">
        <v>10</v>
      </c>
      <c r="L1" s="8" t="s">
        <v>11</v>
      </c>
      <c r="M1" s="9" t="s">
        <v>12</v>
      </c>
      <c r="N1" s="8" t="s">
        <v>13</v>
      </c>
      <c r="O1" s="10" t="s">
        <v>14</v>
      </c>
      <c r="P1" s="6" t="s">
        <v>15</v>
      </c>
      <c r="Q1" s="7" t="s">
        <v>16</v>
      </c>
      <c r="R1" s="11" t="s">
        <v>17</v>
      </c>
      <c r="S1" s="7" t="s">
        <v>18</v>
      </c>
      <c r="T1" s="11" t="s">
        <v>19</v>
      </c>
      <c r="U1" s="7" t="s">
        <v>20</v>
      </c>
      <c r="V1" s="11" t="s">
        <v>21</v>
      </c>
      <c r="W1" s="7" t="s">
        <v>22</v>
      </c>
      <c r="X1" s="11" t="s">
        <v>23</v>
      </c>
      <c r="Y1" s="7" t="s">
        <v>24</v>
      </c>
      <c r="Z1" s="11" t="s">
        <v>25</v>
      </c>
      <c r="AA1" s="7" t="s">
        <v>26</v>
      </c>
      <c r="AB1" s="12" t="s">
        <v>27</v>
      </c>
      <c r="AC1" s="13" t="s">
        <v>28</v>
      </c>
    </row>
    <row r="2" spans="1:29">
      <c r="A2" s="14">
        <v>45566</v>
      </c>
      <c r="B2" s="15">
        <v>393100</v>
      </c>
      <c r="C2" s="7">
        <f>ROUND((B2-MIN($B$2:$B$182))/(MAX($B$2:$B$182)-MIN($B$2:$B$182)),2)</f>
        <v>0.89</v>
      </c>
      <c r="D2" s="16">
        <v>130</v>
      </c>
      <c r="E2" s="7">
        <f>ROUND((D2-MIN($D$2:$D$182))/(MAX($D$2:$D$182)-MIN($D$2:$D$182)),2)</f>
        <v>0.19</v>
      </c>
      <c r="F2" s="17">
        <v>247</v>
      </c>
      <c r="G2" s="7">
        <f>ROUND((F2-MIN($F$2:$F$182))/(MAX($F$2:$F$182)-MIN($F$2:$F$182)),2)</f>
        <v>0.14</v>
      </c>
      <c r="H2" s="17">
        <v>108</v>
      </c>
      <c r="I2" s="18">
        <f>ROUND((H2-MIN($H$2:$H$182))/(MAX($H$2:$H$182)-MIN($H$2:$H$182)),2)</f>
        <v>0.23</v>
      </c>
      <c r="J2" s="19">
        <v>26.4</v>
      </c>
      <c r="K2" s="18">
        <f>ROUND((J2-MIN($J$2:$J$182))/(MAX($J$2:$J$182)-MIN($J$2:$J$182)),2)</f>
        <v>0.4</v>
      </c>
      <c r="L2" s="20">
        <v>3.02</v>
      </c>
      <c r="M2" s="7">
        <f>ROUND((L2-MIN($L$2:$L$182))/(MAX($L$2:$L$182)-MIN($L$2:$L$182)),2)</f>
        <v>0.06</v>
      </c>
      <c r="N2" s="19">
        <v>29</v>
      </c>
      <c r="O2" s="7">
        <f>ROUND((N2-MIN($N$2:$N$182))/(MAX($N$2:$N$182)-MIN($N$2:$N$182)),2)</f>
        <v>0.04</v>
      </c>
      <c r="P2" s="21">
        <v>26.4</v>
      </c>
      <c r="Q2" s="7">
        <f>ROUND((P2-MIN($P$2:$P$182))/(MAX($P$2:$P$182)-MIN($P$2:$P$182)),2)</f>
        <v>0.99</v>
      </c>
      <c r="R2" s="11">
        <v>145387.36</v>
      </c>
      <c r="S2" s="7">
        <f>ROUND((R2-MIN($R$2:$R$182))/(MAX($R$2:$R$182)-MIN($R$2:$R$182)),2)</f>
        <v>0.31</v>
      </c>
      <c r="T2" s="11">
        <v>3634.684</v>
      </c>
      <c r="U2" s="7">
        <f>ROUND((T2-MIN($T$2:$T$182))/(MAX($T$2:$T$182)-MIN($T$2:$T$182)),2)</f>
        <v>0.31</v>
      </c>
      <c r="V2" s="11">
        <f t="shared" ref="V2:V65" si="0">B2*F2/400000/T2*100</f>
        <v>6.67841413448872</v>
      </c>
      <c r="W2" s="7">
        <f>ROUND((V2-MIN($V$2:$V$182))/(MAX($V$2:$V$182)-MIN($V$2:$V$182)),2)</f>
        <v>0.22</v>
      </c>
      <c r="X2" s="11">
        <v>10</v>
      </c>
      <c r="Y2" s="7">
        <v>0</v>
      </c>
      <c r="Z2" s="11">
        <v>52.1457489878543</v>
      </c>
      <c r="AA2" s="7">
        <f>ROUND((Z2-MIN($Z$2:$Z$182))/(MAX($Z$2:$Z$182)-MIN($Z$2:$Z$182)),2)</f>
        <v>0.47</v>
      </c>
      <c r="AB2" s="12">
        <f t="shared" ref="AB2:AB65" si="1">V2*5</f>
        <v>33.3920706724436</v>
      </c>
      <c r="AC2" s="13">
        <f>ROUND((AB2-MIN($AB$2:$AB$182))/(MAX($AB$2:$AB$182)-MIN($AB$2:$AB$182)),2)</f>
        <v>0.22</v>
      </c>
    </row>
    <row r="3" spans="1:29">
      <c r="A3" s="14">
        <v>45567</v>
      </c>
      <c r="B3" s="15">
        <v>379400</v>
      </c>
      <c r="C3" s="7">
        <f t="shared" ref="C3:C34" si="2">ROUND((B3-MIN($B$2:$B$182))/(MAX($B$2:$B$182)-MIN($B$2:$B$182)),2)</f>
        <v>0.83</v>
      </c>
      <c r="D3" s="16">
        <v>140</v>
      </c>
      <c r="E3" s="7">
        <f t="shared" ref="E3:E34" si="3">ROUND((D3-MIN($D$2:$D$182))/(MAX($D$2:$D$182)-MIN($D$2:$D$182)),2)</f>
        <v>0.23</v>
      </c>
      <c r="F3" s="17">
        <v>275</v>
      </c>
      <c r="G3" s="7">
        <f t="shared" ref="G3:G34" si="4">ROUND((F3-MIN($F$2:$F$182))/(MAX($F$2:$F$182)-MIN($F$2:$F$182)),2)</f>
        <v>0.19</v>
      </c>
      <c r="H3" s="17">
        <v>112</v>
      </c>
      <c r="I3" s="18">
        <f t="shared" ref="I3:I34" si="5">ROUND((H3-MIN($H$2:$H$182))/(MAX($H$2:$H$182)-MIN($H$2:$H$182)),2)</f>
        <v>0.24</v>
      </c>
      <c r="J3" s="19">
        <v>29.7</v>
      </c>
      <c r="K3" s="18">
        <f t="shared" ref="K3:K34" si="6">ROUND((J3-MIN($J$2:$J$182))/(MAX($J$2:$J$182)-MIN($J$2:$J$182)),2)</f>
        <v>0.55</v>
      </c>
      <c r="L3" s="20">
        <v>2.3</v>
      </c>
      <c r="M3" s="7">
        <f t="shared" ref="M3:M34" si="7">ROUND((L3-MIN($L$2:$L$182))/(MAX($L$2:$L$182)-MIN($L$2:$L$182)),2)</f>
        <v>0.02</v>
      </c>
      <c r="N3" s="19">
        <v>41</v>
      </c>
      <c r="O3" s="7">
        <f t="shared" ref="O3:O34" si="8">ROUND((N3-MIN($N$2:$N$182))/(MAX($N$2:$N$182)-MIN($N$2:$N$182)),2)</f>
        <v>0.27</v>
      </c>
      <c r="P3" s="21">
        <v>26.5</v>
      </c>
      <c r="Q3" s="7">
        <f t="shared" ref="Q3:Q34" si="9">ROUND((P3-MIN($P$2:$P$182))/(MAX($P$2:$P$182)-MIN($P$2:$P$182)),2)</f>
        <v>1</v>
      </c>
      <c r="R3" s="11">
        <v>145101.84</v>
      </c>
      <c r="S3" s="7">
        <f t="shared" ref="S3:S34" si="10">ROUND((R3-MIN($R$2:$R$182))/(MAX($R$2:$R$182)-MIN($R$2:$R$182)),2)</f>
        <v>0.31</v>
      </c>
      <c r="T3" s="11">
        <v>3627.546</v>
      </c>
      <c r="U3" s="7">
        <f t="shared" ref="U3:U34" si="11">ROUND((T3-MIN($T$2:$T$182))/(MAX($T$2:$T$182)-MIN($T$2:$T$182)),2)</f>
        <v>0.31</v>
      </c>
      <c r="V3" s="11">
        <f t="shared" si="0"/>
        <v>7.19046705403598</v>
      </c>
      <c r="W3" s="7">
        <f t="shared" ref="W3:W34" si="12">ROUND((V3-MIN($V$2:$V$182))/(MAX($V$2:$V$182)-MIN($V$2:$V$182)),2)</f>
        <v>0.25</v>
      </c>
      <c r="X3" s="11">
        <v>10</v>
      </c>
      <c r="Y3" s="7">
        <v>0</v>
      </c>
      <c r="Z3" s="11">
        <v>50.2909090909091</v>
      </c>
      <c r="AA3" s="7">
        <f t="shared" ref="AA3:AA34" si="13">ROUND((Z3-MIN($Z$2:$Z$182))/(MAX($Z$2:$Z$182)-MIN($Z$2:$Z$182)),2)</f>
        <v>0.44</v>
      </c>
      <c r="AB3" s="12">
        <f t="shared" si="1"/>
        <v>35.9523352701799</v>
      </c>
      <c r="AC3" s="13">
        <f t="shared" ref="AC3:AC34" si="14">ROUND((AB3-MIN($AB$2:$AB$182))/(MAX($AB$2:$AB$182)-MIN($AB$2:$AB$182)),2)</f>
        <v>0.25</v>
      </c>
    </row>
    <row r="4" spans="1:29">
      <c r="A4" s="14">
        <v>45568</v>
      </c>
      <c r="B4" s="15">
        <v>346000</v>
      </c>
      <c r="C4" s="7">
        <f t="shared" si="2"/>
        <v>0.68</v>
      </c>
      <c r="D4" s="16">
        <v>114</v>
      </c>
      <c r="E4" s="7">
        <f t="shared" si="3"/>
        <v>0.14</v>
      </c>
      <c r="F4" s="17">
        <v>217</v>
      </c>
      <c r="G4" s="7">
        <f t="shared" si="4"/>
        <v>0.09</v>
      </c>
      <c r="H4" s="17">
        <v>100</v>
      </c>
      <c r="I4" s="18">
        <f t="shared" si="5"/>
        <v>0.21</v>
      </c>
      <c r="J4" s="19">
        <v>28.6</v>
      </c>
      <c r="K4" s="18">
        <f t="shared" si="6"/>
        <v>0.5</v>
      </c>
      <c r="L4" s="20">
        <v>3.9</v>
      </c>
      <c r="M4" s="7">
        <f t="shared" si="7"/>
        <v>0.11</v>
      </c>
      <c r="N4" s="19">
        <v>31.4</v>
      </c>
      <c r="O4" s="7">
        <f t="shared" si="8"/>
        <v>0.09</v>
      </c>
      <c r="P4" s="21">
        <v>26</v>
      </c>
      <c r="Q4" s="7">
        <f t="shared" si="9"/>
        <v>0.96</v>
      </c>
      <c r="R4" s="11">
        <v>105052.89</v>
      </c>
      <c r="S4" s="7">
        <f t="shared" si="10"/>
        <v>0.12</v>
      </c>
      <c r="T4" s="11">
        <v>2626.32225</v>
      </c>
      <c r="U4" s="7">
        <f t="shared" si="11"/>
        <v>0.12</v>
      </c>
      <c r="V4" s="11">
        <f t="shared" si="0"/>
        <v>7.14706658712578</v>
      </c>
      <c r="W4" s="7">
        <f t="shared" si="12"/>
        <v>0.25</v>
      </c>
      <c r="X4" s="11">
        <v>10</v>
      </c>
      <c r="Y4" s="7">
        <v>0</v>
      </c>
      <c r="Z4" s="11">
        <v>51.9354838709677</v>
      </c>
      <c r="AA4" s="7">
        <f t="shared" si="13"/>
        <v>0.47</v>
      </c>
      <c r="AB4" s="12">
        <f t="shared" si="1"/>
        <v>35.7353329356289</v>
      </c>
      <c r="AC4" s="13">
        <f t="shared" si="14"/>
        <v>0.25</v>
      </c>
    </row>
    <row r="5" spans="1:29">
      <c r="A5" s="14">
        <v>45569</v>
      </c>
      <c r="B5" s="15">
        <v>355300</v>
      </c>
      <c r="C5" s="7">
        <f t="shared" si="2"/>
        <v>0.72</v>
      </c>
      <c r="D5" s="16">
        <v>154</v>
      </c>
      <c r="E5" s="7">
        <f t="shared" si="3"/>
        <v>0.27</v>
      </c>
      <c r="F5" s="17">
        <v>251</v>
      </c>
      <c r="G5" s="7">
        <f t="shared" si="4"/>
        <v>0.15</v>
      </c>
      <c r="H5" s="17">
        <v>100</v>
      </c>
      <c r="I5" s="18">
        <f t="shared" si="5"/>
        <v>0.21</v>
      </c>
      <c r="J5" s="19">
        <v>22</v>
      </c>
      <c r="K5" s="18">
        <f t="shared" si="6"/>
        <v>0.2</v>
      </c>
      <c r="L5" s="20">
        <v>2.82</v>
      </c>
      <c r="M5" s="7">
        <f t="shared" si="7"/>
        <v>0.05</v>
      </c>
      <c r="N5" s="19">
        <v>39</v>
      </c>
      <c r="O5" s="7">
        <f t="shared" si="8"/>
        <v>0.24</v>
      </c>
      <c r="P5" s="21">
        <v>25.6</v>
      </c>
      <c r="Q5" s="7">
        <f t="shared" si="9"/>
        <v>0.92</v>
      </c>
      <c r="R5" s="11">
        <v>170004.52</v>
      </c>
      <c r="S5" s="7">
        <f t="shared" si="10"/>
        <v>0.43</v>
      </c>
      <c r="T5" s="11">
        <v>4250.113</v>
      </c>
      <c r="U5" s="7">
        <f t="shared" si="11"/>
        <v>0.43</v>
      </c>
      <c r="V5" s="11">
        <f t="shared" si="0"/>
        <v>5.24576052448488</v>
      </c>
      <c r="W5" s="7">
        <f t="shared" si="12"/>
        <v>0.15</v>
      </c>
      <c r="X5" s="11">
        <v>10</v>
      </c>
      <c r="Y5" s="7">
        <v>0</v>
      </c>
      <c r="Z5" s="11">
        <v>60.7171314741036</v>
      </c>
      <c r="AA5" s="7">
        <f t="shared" si="13"/>
        <v>0.58</v>
      </c>
      <c r="AB5" s="12">
        <f t="shared" si="1"/>
        <v>26.2288026224244</v>
      </c>
      <c r="AC5" s="13">
        <f t="shared" si="14"/>
        <v>0.15</v>
      </c>
    </row>
    <row r="6" spans="1:29">
      <c r="A6" s="14">
        <v>45570</v>
      </c>
      <c r="B6" s="15">
        <v>336700</v>
      </c>
      <c r="C6" s="7">
        <f t="shared" si="2"/>
        <v>0.64</v>
      </c>
      <c r="D6" s="16">
        <v>89.6</v>
      </c>
      <c r="E6" s="7">
        <f t="shared" si="3"/>
        <v>0.05</v>
      </c>
      <c r="F6" s="17">
        <v>165</v>
      </c>
      <c r="G6" s="7">
        <f t="shared" si="4"/>
        <v>0</v>
      </c>
      <c r="H6" s="17">
        <v>88</v>
      </c>
      <c r="I6" s="18">
        <f t="shared" si="5"/>
        <v>0.18</v>
      </c>
      <c r="J6" s="19">
        <v>22.7</v>
      </c>
      <c r="K6" s="18">
        <f t="shared" si="6"/>
        <v>0.23</v>
      </c>
      <c r="L6" s="20">
        <v>2.78</v>
      </c>
      <c r="M6" s="7">
        <f t="shared" si="7"/>
        <v>0.05</v>
      </c>
      <c r="N6" s="19">
        <v>30</v>
      </c>
      <c r="O6" s="7">
        <f t="shared" si="8"/>
        <v>0.06</v>
      </c>
      <c r="P6" s="21">
        <v>25.2</v>
      </c>
      <c r="Q6" s="7">
        <f t="shared" si="9"/>
        <v>0.89</v>
      </c>
      <c r="R6" s="11">
        <v>134189.96</v>
      </c>
      <c r="S6" s="7">
        <f t="shared" si="10"/>
        <v>0.26</v>
      </c>
      <c r="T6" s="11">
        <v>3354.749</v>
      </c>
      <c r="U6" s="7">
        <f t="shared" si="11"/>
        <v>0.26</v>
      </c>
      <c r="V6" s="11">
        <f t="shared" si="0"/>
        <v>4.1400638318992</v>
      </c>
      <c r="W6" s="7">
        <f t="shared" si="12"/>
        <v>0.09</v>
      </c>
      <c r="X6" s="11">
        <v>10</v>
      </c>
      <c r="Y6" s="7">
        <v>0</v>
      </c>
      <c r="Z6" s="11">
        <v>53.5757575757576</v>
      </c>
      <c r="AA6" s="7">
        <f t="shared" si="13"/>
        <v>0.49</v>
      </c>
      <c r="AB6" s="12">
        <f t="shared" si="1"/>
        <v>20.700319159496</v>
      </c>
      <c r="AC6" s="13">
        <f t="shared" si="14"/>
        <v>0.09</v>
      </c>
    </row>
    <row r="7" spans="1:29">
      <c r="A7" s="14">
        <v>45571</v>
      </c>
      <c r="B7" s="15">
        <v>353600</v>
      </c>
      <c r="C7" s="7">
        <f t="shared" si="2"/>
        <v>0.71</v>
      </c>
      <c r="D7" s="16">
        <v>116</v>
      </c>
      <c r="E7" s="7">
        <f t="shared" si="3"/>
        <v>0.14</v>
      </c>
      <c r="F7" s="17">
        <v>200</v>
      </c>
      <c r="G7" s="7">
        <f t="shared" si="4"/>
        <v>0.06</v>
      </c>
      <c r="H7" s="17">
        <v>88</v>
      </c>
      <c r="I7" s="18">
        <f t="shared" si="5"/>
        <v>0.18</v>
      </c>
      <c r="J7" s="19">
        <v>29.5</v>
      </c>
      <c r="K7" s="18">
        <f t="shared" si="6"/>
        <v>0.54</v>
      </c>
      <c r="L7" s="20">
        <v>3.46</v>
      </c>
      <c r="M7" s="7">
        <f t="shared" si="7"/>
        <v>0.09</v>
      </c>
      <c r="N7" s="19">
        <v>42</v>
      </c>
      <c r="O7" s="7">
        <f t="shared" si="8"/>
        <v>0.29</v>
      </c>
      <c r="P7" s="21">
        <v>24.9</v>
      </c>
      <c r="Q7" s="7">
        <f t="shared" si="9"/>
        <v>0.86</v>
      </c>
      <c r="R7" s="11">
        <v>127854.24</v>
      </c>
      <c r="S7" s="7">
        <f t="shared" si="10"/>
        <v>0.23</v>
      </c>
      <c r="T7" s="11">
        <v>3196.356</v>
      </c>
      <c r="U7" s="7">
        <f t="shared" si="11"/>
        <v>0.23</v>
      </c>
      <c r="V7" s="11">
        <f t="shared" si="0"/>
        <v>5.53129876647032</v>
      </c>
      <c r="W7" s="7">
        <f t="shared" si="12"/>
        <v>0.16</v>
      </c>
      <c r="X7" s="11">
        <v>10</v>
      </c>
      <c r="Y7" s="7">
        <v>0</v>
      </c>
      <c r="Z7" s="11">
        <v>57.4</v>
      </c>
      <c r="AA7" s="7">
        <f t="shared" si="13"/>
        <v>0.53</v>
      </c>
      <c r="AB7" s="12">
        <f t="shared" si="1"/>
        <v>27.6564938323516</v>
      </c>
      <c r="AC7" s="13">
        <f t="shared" si="14"/>
        <v>0.16</v>
      </c>
    </row>
    <row r="8" spans="1:29">
      <c r="A8" s="14">
        <v>45572</v>
      </c>
      <c r="B8" s="15">
        <v>390500</v>
      </c>
      <c r="C8" s="7">
        <f t="shared" si="2"/>
        <v>0.88</v>
      </c>
      <c r="D8" s="16">
        <v>140</v>
      </c>
      <c r="E8" s="7">
        <f t="shared" si="3"/>
        <v>0.23</v>
      </c>
      <c r="F8" s="17">
        <v>222</v>
      </c>
      <c r="G8" s="7">
        <f t="shared" si="4"/>
        <v>0.1</v>
      </c>
      <c r="H8" s="17">
        <v>108</v>
      </c>
      <c r="I8" s="18">
        <f t="shared" si="5"/>
        <v>0.23</v>
      </c>
      <c r="J8" s="19">
        <v>25</v>
      </c>
      <c r="K8" s="18">
        <f t="shared" si="6"/>
        <v>0.34</v>
      </c>
      <c r="L8" s="20">
        <v>3.02</v>
      </c>
      <c r="M8" s="7">
        <f t="shared" si="7"/>
        <v>0.06</v>
      </c>
      <c r="N8" s="19">
        <v>37.3</v>
      </c>
      <c r="O8" s="7">
        <f t="shared" si="8"/>
        <v>0.2</v>
      </c>
      <c r="P8" s="21">
        <v>24.9</v>
      </c>
      <c r="Q8" s="7">
        <f t="shared" si="9"/>
        <v>0.86</v>
      </c>
      <c r="R8" s="11">
        <v>99676.5800000001</v>
      </c>
      <c r="S8" s="7">
        <f t="shared" si="10"/>
        <v>0.09</v>
      </c>
      <c r="T8" s="11">
        <v>2491.9145</v>
      </c>
      <c r="U8" s="7">
        <f t="shared" si="11"/>
        <v>0.09</v>
      </c>
      <c r="V8" s="11">
        <f t="shared" si="0"/>
        <v>8.69722857666264</v>
      </c>
      <c r="W8" s="7">
        <f t="shared" si="12"/>
        <v>0.33</v>
      </c>
      <c r="X8" s="11">
        <v>10</v>
      </c>
      <c r="Y8" s="7">
        <v>0</v>
      </c>
      <c r="Z8" s="11">
        <v>62.3873873873874</v>
      </c>
      <c r="AA8" s="7">
        <f t="shared" si="13"/>
        <v>0.6</v>
      </c>
      <c r="AB8" s="12">
        <f t="shared" si="1"/>
        <v>43.4861428833132</v>
      </c>
      <c r="AC8" s="13">
        <f t="shared" si="14"/>
        <v>0.33</v>
      </c>
    </row>
    <row r="9" spans="1:29">
      <c r="A9" s="14">
        <v>45573</v>
      </c>
      <c r="B9" s="15">
        <v>373300</v>
      </c>
      <c r="C9" s="7">
        <f t="shared" si="2"/>
        <v>0.8</v>
      </c>
      <c r="D9" s="16">
        <v>118</v>
      </c>
      <c r="E9" s="7">
        <f t="shared" si="3"/>
        <v>0.15</v>
      </c>
      <c r="F9" s="17">
        <v>237</v>
      </c>
      <c r="G9" s="7">
        <f t="shared" si="4"/>
        <v>0.13</v>
      </c>
      <c r="H9" s="17">
        <v>120</v>
      </c>
      <c r="I9" s="18">
        <f t="shared" si="5"/>
        <v>0.26</v>
      </c>
      <c r="J9" s="19">
        <v>23</v>
      </c>
      <c r="K9" s="18">
        <f t="shared" si="6"/>
        <v>0.24</v>
      </c>
      <c r="L9" s="20">
        <v>2.6</v>
      </c>
      <c r="M9" s="7">
        <f t="shared" si="7"/>
        <v>0.04</v>
      </c>
      <c r="N9" s="19">
        <v>35.2</v>
      </c>
      <c r="O9" s="7">
        <f t="shared" si="8"/>
        <v>0.16</v>
      </c>
      <c r="P9" s="21">
        <v>24.6</v>
      </c>
      <c r="Q9" s="7">
        <f t="shared" si="9"/>
        <v>0.84</v>
      </c>
      <c r="R9" s="11">
        <v>122753.72</v>
      </c>
      <c r="S9" s="7">
        <f t="shared" si="10"/>
        <v>0.2</v>
      </c>
      <c r="T9" s="11">
        <v>3068.843</v>
      </c>
      <c r="U9" s="7">
        <f t="shared" si="11"/>
        <v>0.2</v>
      </c>
      <c r="V9" s="11">
        <f t="shared" si="0"/>
        <v>7.20728463463266</v>
      </c>
      <c r="W9" s="7">
        <f t="shared" si="12"/>
        <v>0.25</v>
      </c>
      <c r="X9" s="11">
        <v>10</v>
      </c>
      <c r="Y9" s="7">
        <v>0</v>
      </c>
      <c r="Z9" s="11">
        <v>49.2827004219409</v>
      </c>
      <c r="AA9" s="7">
        <f t="shared" si="13"/>
        <v>0.43</v>
      </c>
      <c r="AB9" s="12">
        <f t="shared" si="1"/>
        <v>36.0364231731633</v>
      </c>
      <c r="AC9" s="13">
        <f t="shared" si="14"/>
        <v>0.25</v>
      </c>
    </row>
    <row r="10" spans="1:29">
      <c r="A10" s="14">
        <v>45574</v>
      </c>
      <c r="B10" s="15">
        <v>348900</v>
      </c>
      <c r="C10" s="7">
        <f t="shared" si="2"/>
        <v>0.69</v>
      </c>
      <c r="D10" s="16">
        <v>170</v>
      </c>
      <c r="E10" s="7">
        <f t="shared" si="3"/>
        <v>0.33</v>
      </c>
      <c r="F10" s="17">
        <v>247</v>
      </c>
      <c r="G10" s="7">
        <f t="shared" si="4"/>
        <v>0.14</v>
      </c>
      <c r="H10" s="17">
        <v>148</v>
      </c>
      <c r="I10" s="18">
        <f t="shared" si="5"/>
        <v>0.33</v>
      </c>
      <c r="J10" s="19">
        <v>24.3</v>
      </c>
      <c r="K10" s="18">
        <f t="shared" si="6"/>
        <v>0.3</v>
      </c>
      <c r="L10" s="20">
        <v>3.46</v>
      </c>
      <c r="M10" s="7">
        <f t="shared" si="7"/>
        <v>0.09</v>
      </c>
      <c r="N10" s="19">
        <v>39.2</v>
      </c>
      <c r="O10" s="7">
        <f t="shared" si="8"/>
        <v>0.24</v>
      </c>
      <c r="P10" s="21">
        <v>24.3</v>
      </c>
      <c r="Q10" s="7">
        <f t="shared" si="9"/>
        <v>0.81</v>
      </c>
      <c r="R10" s="11">
        <v>136916.14</v>
      </c>
      <c r="S10" s="7">
        <f t="shared" si="10"/>
        <v>0.27</v>
      </c>
      <c r="T10" s="11">
        <v>3422.9035</v>
      </c>
      <c r="U10" s="7">
        <f t="shared" si="11"/>
        <v>0.27</v>
      </c>
      <c r="V10" s="11">
        <f t="shared" si="0"/>
        <v>6.29423967108626</v>
      </c>
      <c r="W10" s="7">
        <f t="shared" si="12"/>
        <v>0.2</v>
      </c>
      <c r="X10" s="11">
        <v>10</v>
      </c>
      <c r="Y10" s="7">
        <v>0</v>
      </c>
      <c r="Z10" s="11">
        <v>68.4210526315789</v>
      </c>
      <c r="AA10" s="7">
        <f t="shared" si="13"/>
        <v>0.67</v>
      </c>
      <c r="AB10" s="12">
        <f t="shared" si="1"/>
        <v>31.4711983554313</v>
      </c>
      <c r="AC10" s="13">
        <f t="shared" si="14"/>
        <v>0.2</v>
      </c>
    </row>
    <row r="11" spans="1:29">
      <c r="A11" s="14">
        <v>45575</v>
      </c>
      <c r="B11" s="15">
        <v>369000</v>
      </c>
      <c r="C11" s="7">
        <f t="shared" si="2"/>
        <v>0.78</v>
      </c>
      <c r="D11" s="16">
        <v>196</v>
      </c>
      <c r="E11" s="7">
        <f t="shared" si="3"/>
        <v>0.42</v>
      </c>
      <c r="F11" s="17">
        <v>369</v>
      </c>
      <c r="G11" s="7">
        <f t="shared" si="4"/>
        <v>0.35</v>
      </c>
      <c r="H11" s="17">
        <v>224</v>
      </c>
      <c r="I11" s="18">
        <f t="shared" si="5"/>
        <v>0.51</v>
      </c>
      <c r="J11" s="19">
        <v>26</v>
      </c>
      <c r="K11" s="18">
        <f t="shared" si="6"/>
        <v>0.38</v>
      </c>
      <c r="L11" s="20">
        <v>3.94</v>
      </c>
      <c r="M11" s="7">
        <f t="shared" si="7"/>
        <v>0.11</v>
      </c>
      <c r="N11" s="19">
        <v>32.4</v>
      </c>
      <c r="O11" s="7">
        <f t="shared" si="8"/>
        <v>0.11</v>
      </c>
      <c r="P11" s="21">
        <v>24.2</v>
      </c>
      <c r="Q11" s="7">
        <f t="shared" si="9"/>
        <v>0.81</v>
      </c>
      <c r="R11" s="11">
        <v>124827.02</v>
      </c>
      <c r="S11" s="7">
        <f t="shared" si="10"/>
        <v>0.21</v>
      </c>
      <c r="T11" s="11">
        <v>3120.6755</v>
      </c>
      <c r="U11" s="7">
        <f t="shared" si="11"/>
        <v>0.21</v>
      </c>
      <c r="V11" s="11">
        <f t="shared" si="0"/>
        <v>10.9079748919745</v>
      </c>
      <c r="W11" s="7">
        <f t="shared" si="12"/>
        <v>0.44</v>
      </c>
      <c r="X11" s="11">
        <v>10</v>
      </c>
      <c r="Y11" s="7">
        <v>0</v>
      </c>
      <c r="Z11" s="11">
        <v>52.6558265582656</v>
      </c>
      <c r="AA11" s="7">
        <f t="shared" si="13"/>
        <v>0.47</v>
      </c>
      <c r="AB11" s="12">
        <f t="shared" si="1"/>
        <v>54.5398744598726</v>
      </c>
      <c r="AC11" s="13">
        <f t="shared" si="14"/>
        <v>0.44</v>
      </c>
    </row>
    <row r="12" spans="1:29">
      <c r="A12" s="14">
        <v>45576</v>
      </c>
      <c r="B12" s="15">
        <v>381000</v>
      </c>
      <c r="C12" s="7">
        <f t="shared" si="2"/>
        <v>0.84</v>
      </c>
      <c r="D12" s="16">
        <v>98</v>
      </c>
      <c r="E12" s="7">
        <f t="shared" si="3"/>
        <v>0.08</v>
      </c>
      <c r="F12" s="17">
        <v>176</v>
      </c>
      <c r="G12" s="7">
        <f t="shared" si="4"/>
        <v>0.02</v>
      </c>
      <c r="H12" s="17">
        <v>84</v>
      </c>
      <c r="I12" s="18">
        <f t="shared" si="5"/>
        <v>0.17</v>
      </c>
      <c r="J12" s="19">
        <v>20.2</v>
      </c>
      <c r="K12" s="18">
        <f t="shared" si="6"/>
        <v>0.12</v>
      </c>
      <c r="L12" s="20">
        <v>3.14</v>
      </c>
      <c r="M12" s="7">
        <f t="shared" si="7"/>
        <v>0.07</v>
      </c>
      <c r="N12" s="19">
        <v>42.2</v>
      </c>
      <c r="O12" s="7">
        <f t="shared" si="8"/>
        <v>0.3</v>
      </c>
      <c r="P12" s="21">
        <v>24.1</v>
      </c>
      <c r="Q12" s="7">
        <f t="shared" si="9"/>
        <v>0.8</v>
      </c>
      <c r="R12" s="11">
        <v>119968.15</v>
      </c>
      <c r="S12" s="7">
        <f t="shared" si="10"/>
        <v>0.19</v>
      </c>
      <c r="T12" s="11">
        <v>2999.20375</v>
      </c>
      <c r="U12" s="7">
        <f t="shared" si="11"/>
        <v>0.19</v>
      </c>
      <c r="V12" s="11">
        <f t="shared" si="0"/>
        <v>5.58948354209013</v>
      </c>
      <c r="W12" s="7">
        <f t="shared" si="12"/>
        <v>0.17</v>
      </c>
      <c r="X12" s="11">
        <v>10</v>
      </c>
      <c r="Y12" s="7">
        <v>0</v>
      </c>
      <c r="Z12" s="11">
        <v>55.2840909090909</v>
      </c>
      <c r="AA12" s="7">
        <f t="shared" si="13"/>
        <v>0.51</v>
      </c>
      <c r="AB12" s="12">
        <f t="shared" si="1"/>
        <v>27.9474177104506</v>
      </c>
      <c r="AC12" s="13">
        <f t="shared" si="14"/>
        <v>0.17</v>
      </c>
    </row>
    <row r="13" spans="1:29">
      <c r="A13" s="14">
        <v>45577</v>
      </c>
      <c r="B13" s="15">
        <v>355900</v>
      </c>
      <c r="C13" s="7">
        <f t="shared" si="2"/>
        <v>0.72</v>
      </c>
      <c r="D13" s="16">
        <v>148</v>
      </c>
      <c r="E13" s="7">
        <f t="shared" si="3"/>
        <v>0.25</v>
      </c>
      <c r="F13" s="17">
        <v>239</v>
      </c>
      <c r="G13" s="7">
        <f t="shared" si="4"/>
        <v>0.13</v>
      </c>
      <c r="H13" s="17">
        <v>116</v>
      </c>
      <c r="I13" s="18">
        <f t="shared" si="5"/>
        <v>0.25</v>
      </c>
      <c r="J13" s="19">
        <v>23.8</v>
      </c>
      <c r="K13" s="18">
        <f t="shared" si="6"/>
        <v>0.28</v>
      </c>
      <c r="L13" s="20">
        <v>3.7</v>
      </c>
      <c r="M13" s="7">
        <f t="shared" si="7"/>
        <v>0.1</v>
      </c>
      <c r="N13" s="19">
        <v>29.4</v>
      </c>
      <c r="O13" s="7">
        <f t="shared" si="8"/>
        <v>0.05</v>
      </c>
      <c r="P13" s="21">
        <v>23.9</v>
      </c>
      <c r="Q13" s="7">
        <f t="shared" si="9"/>
        <v>0.78</v>
      </c>
      <c r="R13" s="11">
        <v>120581.52</v>
      </c>
      <c r="S13" s="7">
        <f t="shared" si="10"/>
        <v>0.19</v>
      </c>
      <c r="T13" s="11">
        <v>3014.538</v>
      </c>
      <c r="U13" s="7">
        <f t="shared" si="11"/>
        <v>0.19</v>
      </c>
      <c r="V13" s="11">
        <f t="shared" si="0"/>
        <v>7.05415722077479</v>
      </c>
      <c r="W13" s="7">
        <f t="shared" si="12"/>
        <v>0.24</v>
      </c>
      <c r="X13" s="11">
        <v>10</v>
      </c>
      <c r="Y13" s="7">
        <v>0</v>
      </c>
      <c r="Z13" s="11">
        <v>61.1297071129707</v>
      </c>
      <c r="AA13" s="7">
        <f t="shared" si="13"/>
        <v>0.58</v>
      </c>
      <c r="AB13" s="12">
        <f t="shared" si="1"/>
        <v>35.270786103874</v>
      </c>
      <c r="AC13" s="13">
        <f t="shared" si="14"/>
        <v>0.24</v>
      </c>
    </row>
    <row r="14" spans="1:29">
      <c r="A14" s="14">
        <v>45578</v>
      </c>
      <c r="B14" s="15">
        <v>370800</v>
      </c>
      <c r="C14" s="7">
        <f t="shared" si="2"/>
        <v>0.79</v>
      </c>
      <c r="D14" s="16">
        <v>73.7</v>
      </c>
      <c r="E14" s="7">
        <f t="shared" si="3"/>
        <v>0</v>
      </c>
      <c r="F14" s="17">
        <v>233</v>
      </c>
      <c r="G14" s="7">
        <f t="shared" si="4"/>
        <v>0.12</v>
      </c>
      <c r="H14" s="17">
        <v>100</v>
      </c>
      <c r="I14" s="18">
        <f t="shared" si="5"/>
        <v>0.21</v>
      </c>
      <c r="J14" s="19">
        <v>19.2</v>
      </c>
      <c r="K14" s="18">
        <f t="shared" si="6"/>
        <v>0.07</v>
      </c>
      <c r="L14" s="20">
        <v>3.22</v>
      </c>
      <c r="M14" s="7">
        <f t="shared" si="7"/>
        <v>0.07</v>
      </c>
      <c r="N14" s="19">
        <v>34.6</v>
      </c>
      <c r="O14" s="7">
        <f t="shared" si="8"/>
        <v>0.15</v>
      </c>
      <c r="P14" s="21">
        <v>23.8</v>
      </c>
      <c r="Q14" s="7">
        <f t="shared" si="9"/>
        <v>0.77</v>
      </c>
      <c r="R14" s="11">
        <v>119976.76</v>
      </c>
      <c r="S14" s="7">
        <f t="shared" si="10"/>
        <v>0.19</v>
      </c>
      <c r="T14" s="11">
        <v>2999.419</v>
      </c>
      <c r="U14" s="7">
        <f t="shared" si="11"/>
        <v>0.19</v>
      </c>
      <c r="V14" s="11">
        <f t="shared" si="0"/>
        <v>7.20109461198986</v>
      </c>
      <c r="W14" s="7">
        <f t="shared" si="12"/>
        <v>0.25</v>
      </c>
      <c r="X14" s="11">
        <v>10</v>
      </c>
      <c r="Y14" s="7">
        <v>0</v>
      </c>
      <c r="Z14" s="11">
        <v>31.3304721030043</v>
      </c>
      <c r="AA14" s="7">
        <f t="shared" si="13"/>
        <v>0.21</v>
      </c>
      <c r="AB14" s="12">
        <f t="shared" si="1"/>
        <v>36.0054730599493</v>
      </c>
      <c r="AC14" s="13">
        <f t="shared" si="14"/>
        <v>0.25</v>
      </c>
    </row>
    <row r="15" spans="1:29">
      <c r="A15" s="14">
        <v>45579</v>
      </c>
      <c r="B15" s="15">
        <v>330200</v>
      </c>
      <c r="C15" s="7">
        <f t="shared" si="2"/>
        <v>0.61</v>
      </c>
      <c r="D15" s="16">
        <v>112</v>
      </c>
      <c r="E15" s="7">
        <f t="shared" si="3"/>
        <v>0.13</v>
      </c>
      <c r="F15" s="17">
        <v>310</v>
      </c>
      <c r="G15" s="7">
        <f t="shared" si="4"/>
        <v>0.25</v>
      </c>
      <c r="H15" s="17">
        <v>176</v>
      </c>
      <c r="I15" s="18">
        <f t="shared" si="5"/>
        <v>0.39</v>
      </c>
      <c r="J15" s="19">
        <v>23.6</v>
      </c>
      <c r="K15" s="18">
        <f t="shared" si="6"/>
        <v>0.27</v>
      </c>
      <c r="L15" s="20">
        <v>5.02</v>
      </c>
      <c r="M15" s="7">
        <f t="shared" si="7"/>
        <v>0.17</v>
      </c>
      <c r="N15" s="19">
        <v>38.2</v>
      </c>
      <c r="O15" s="7">
        <f t="shared" si="8"/>
        <v>0.22</v>
      </c>
      <c r="P15" s="21">
        <v>23.8</v>
      </c>
      <c r="Q15" s="7">
        <f t="shared" si="9"/>
        <v>0.77</v>
      </c>
      <c r="R15" s="11">
        <v>121908.56</v>
      </c>
      <c r="S15" s="7">
        <f t="shared" si="10"/>
        <v>0.2</v>
      </c>
      <c r="T15" s="11">
        <v>3047.714</v>
      </c>
      <c r="U15" s="7">
        <f t="shared" si="11"/>
        <v>0.2</v>
      </c>
      <c r="V15" s="11">
        <f t="shared" si="0"/>
        <v>8.39662120527057</v>
      </c>
      <c r="W15" s="7">
        <f t="shared" si="12"/>
        <v>0.31</v>
      </c>
      <c r="X15" s="11">
        <v>10</v>
      </c>
      <c r="Y15" s="7">
        <v>0</v>
      </c>
      <c r="Z15" s="11">
        <v>35.9032258064516</v>
      </c>
      <c r="AA15" s="7">
        <f t="shared" si="13"/>
        <v>0.26</v>
      </c>
      <c r="AB15" s="12">
        <f t="shared" si="1"/>
        <v>41.9831060263529</v>
      </c>
      <c r="AC15" s="13">
        <f t="shared" si="14"/>
        <v>0.31</v>
      </c>
    </row>
    <row r="16" spans="1:29">
      <c r="A16" s="14">
        <v>45580</v>
      </c>
      <c r="B16" s="15">
        <v>318000</v>
      </c>
      <c r="C16" s="7">
        <f t="shared" si="2"/>
        <v>0.55</v>
      </c>
      <c r="D16" s="16">
        <v>101</v>
      </c>
      <c r="E16" s="7">
        <f t="shared" si="3"/>
        <v>0.09</v>
      </c>
      <c r="F16" s="17">
        <v>229</v>
      </c>
      <c r="G16" s="7">
        <f t="shared" si="4"/>
        <v>0.11</v>
      </c>
      <c r="H16" s="17">
        <v>132</v>
      </c>
      <c r="I16" s="18">
        <f t="shared" si="5"/>
        <v>0.29</v>
      </c>
      <c r="J16" s="19">
        <v>24</v>
      </c>
      <c r="K16" s="18">
        <f t="shared" si="6"/>
        <v>0.29</v>
      </c>
      <c r="L16" s="20">
        <v>4.32</v>
      </c>
      <c r="M16" s="7">
        <f t="shared" si="7"/>
        <v>0.13</v>
      </c>
      <c r="N16" s="19">
        <v>39.1</v>
      </c>
      <c r="O16" s="7">
        <f t="shared" si="8"/>
        <v>0.24</v>
      </c>
      <c r="P16" s="21">
        <v>24</v>
      </c>
      <c r="Q16" s="7">
        <f t="shared" si="9"/>
        <v>0.79</v>
      </c>
      <c r="R16" s="11">
        <v>114732.13</v>
      </c>
      <c r="S16" s="7">
        <f t="shared" si="10"/>
        <v>0.16</v>
      </c>
      <c r="T16" s="11">
        <v>2868.30325</v>
      </c>
      <c r="U16" s="7">
        <f t="shared" si="11"/>
        <v>0.16</v>
      </c>
      <c r="V16" s="11">
        <f t="shared" si="0"/>
        <v>6.34713222878369</v>
      </c>
      <c r="W16" s="7">
        <f t="shared" si="12"/>
        <v>0.21</v>
      </c>
      <c r="X16" s="11">
        <v>10</v>
      </c>
      <c r="Y16" s="7">
        <v>0</v>
      </c>
      <c r="Z16" s="11">
        <v>43.7554585152838</v>
      </c>
      <c r="AA16" s="7">
        <f t="shared" si="13"/>
        <v>0.36</v>
      </c>
      <c r="AB16" s="12">
        <f t="shared" si="1"/>
        <v>31.7356611439184</v>
      </c>
      <c r="AC16" s="13">
        <f t="shared" si="14"/>
        <v>0.21</v>
      </c>
    </row>
    <row r="17" spans="1:29">
      <c r="A17" s="14">
        <v>45581</v>
      </c>
      <c r="B17" s="15">
        <v>335900</v>
      </c>
      <c r="C17" s="7">
        <f t="shared" si="2"/>
        <v>0.63</v>
      </c>
      <c r="D17" s="16">
        <v>259</v>
      </c>
      <c r="E17" s="7">
        <f t="shared" si="3"/>
        <v>0.63</v>
      </c>
      <c r="F17" s="17">
        <v>440</v>
      </c>
      <c r="G17" s="7">
        <f t="shared" si="4"/>
        <v>0.48</v>
      </c>
      <c r="H17" s="17">
        <v>192</v>
      </c>
      <c r="I17" s="18">
        <f t="shared" si="5"/>
        <v>0.43</v>
      </c>
      <c r="J17" s="19">
        <v>22.6</v>
      </c>
      <c r="K17" s="18">
        <f t="shared" si="6"/>
        <v>0.23</v>
      </c>
      <c r="L17" s="20">
        <v>4.48</v>
      </c>
      <c r="M17" s="7">
        <f t="shared" si="7"/>
        <v>0.14</v>
      </c>
      <c r="N17" s="19">
        <v>41.8</v>
      </c>
      <c r="O17" s="7">
        <f t="shared" si="8"/>
        <v>0.29</v>
      </c>
      <c r="P17" s="21">
        <v>24.1</v>
      </c>
      <c r="Q17" s="7">
        <f t="shared" si="9"/>
        <v>0.8</v>
      </c>
      <c r="R17" s="11">
        <v>128833.11</v>
      </c>
      <c r="S17" s="7">
        <f t="shared" si="10"/>
        <v>0.23</v>
      </c>
      <c r="T17" s="11">
        <v>3220.82774999999</v>
      </c>
      <c r="U17" s="7">
        <f t="shared" si="11"/>
        <v>0.23</v>
      </c>
      <c r="V17" s="11">
        <f t="shared" si="0"/>
        <v>11.4718956951362</v>
      </c>
      <c r="W17" s="7">
        <f t="shared" si="12"/>
        <v>0.47</v>
      </c>
      <c r="X17" s="11">
        <v>10</v>
      </c>
      <c r="Y17" s="7">
        <v>0</v>
      </c>
      <c r="Z17" s="11">
        <v>58.7045454545455</v>
      </c>
      <c r="AA17" s="7">
        <f t="shared" si="13"/>
        <v>0.55</v>
      </c>
      <c r="AB17" s="12">
        <f t="shared" si="1"/>
        <v>57.3594784756808</v>
      </c>
      <c r="AC17" s="13">
        <f t="shared" si="14"/>
        <v>0.47</v>
      </c>
    </row>
    <row r="18" spans="1:29">
      <c r="A18" s="14">
        <v>45582</v>
      </c>
      <c r="B18" s="15">
        <v>342400</v>
      </c>
      <c r="C18" s="7">
        <f t="shared" si="2"/>
        <v>0.66</v>
      </c>
      <c r="D18" s="16">
        <v>237</v>
      </c>
      <c r="E18" s="7">
        <f t="shared" si="3"/>
        <v>0.56</v>
      </c>
      <c r="F18" s="17">
        <v>335</v>
      </c>
      <c r="G18" s="7">
        <f t="shared" si="4"/>
        <v>0.3</v>
      </c>
      <c r="H18" s="17">
        <v>188</v>
      </c>
      <c r="I18" s="18">
        <f t="shared" si="5"/>
        <v>0.42</v>
      </c>
      <c r="J18" s="19">
        <v>28.2</v>
      </c>
      <c r="K18" s="18">
        <f t="shared" si="6"/>
        <v>0.48</v>
      </c>
      <c r="L18" s="20">
        <v>6.33</v>
      </c>
      <c r="M18" s="7">
        <f t="shared" si="7"/>
        <v>0.25</v>
      </c>
      <c r="N18" s="19">
        <v>39.6</v>
      </c>
      <c r="O18" s="7">
        <f t="shared" si="8"/>
        <v>0.25</v>
      </c>
      <c r="P18" s="21">
        <v>24.1</v>
      </c>
      <c r="Q18" s="7">
        <f t="shared" si="9"/>
        <v>0.8</v>
      </c>
      <c r="R18" s="11">
        <v>127509.62</v>
      </c>
      <c r="S18" s="7">
        <f t="shared" si="10"/>
        <v>0.22</v>
      </c>
      <c r="T18" s="11">
        <v>3187.7405</v>
      </c>
      <c r="U18" s="7">
        <f t="shared" si="11"/>
        <v>0.22</v>
      </c>
      <c r="V18" s="11">
        <f t="shared" si="0"/>
        <v>8.99571342146577</v>
      </c>
      <c r="W18" s="7">
        <f t="shared" si="12"/>
        <v>0.34</v>
      </c>
      <c r="X18" s="11">
        <v>10</v>
      </c>
      <c r="Y18" s="7">
        <v>0</v>
      </c>
      <c r="Z18" s="11">
        <v>70.3283582089552</v>
      </c>
      <c r="AA18" s="7">
        <f t="shared" si="13"/>
        <v>0.7</v>
      </c>
      <c r="AB18" s="12">
        <f t="shared" si="1"/>
        <v>44.9785671073288</v>
      </c>
      <c r="AC18" s="13">
        <f t="shared" si="14"/>
        <v>0.34</v>
      </c>
    </row>
    <row r="19" spans="1:29">
      <c r="A19" s="14">
        <v>45583</v>
      </c>
      <c r="B19" s="15">
        <v>342100</v>
      </c>
      <c r="C19" s="7">
        <f t="shared" si="2"/>
        <v>0.66</v>
      </c>
      <c r="D19" s="16">
        <v>144</v>
      </c>
      <c r="E19" s="7">
        <f t="shared" si="3"/>
        <v>0.24</v>
      </c>
      <c r="F19" s="17">
        <v>226</v>
      </c>
      <c r="G19" s="7">
        <f t="shared" si="4"/>
        <v>0.11</v>
      </c>
      <c r="H19" s="17">
        <v>136</v>
      </c>
      <c r="I19" s="18">
        <f t="shared" si="5"/>
        <v>0.3</v>
      </c>
      <c r="J19" s="19">
        <v>19.2</v>
      </c>
      <c r="K19" s="18">
        <f t="shared" si="6"/>
        <v>0.07</v>
      </c>
      <c r="L19" s="20">
        <v>3.66</v>
      </c>
      <c r="M19" s="7">
        <f t="shared" si="7"/>
        <v>0.1</v>
      </c>
      <c r="N19" s="19">
        <v>32.4</v>
      </c>
      <c r="O19" s="7">
        <f t="shared" si="8"/>
        <v>0.11</v>
      </c>
      <c r="P19" s="21">
        <v>24.1</v>
      </c>
      <c r="Q19" s="7">
        <f t="shared" si="9"/>
        <v>0.8</v>
      </c>
      <c r="R19" s="11">
        <v>142753.14</v>
      </c>
      <c r="S19" s="7">
        <f t="shared" si="10"/>
        <v>0.3</v>
      </c>
      <c r="T19" s="11">
        <v>3568.8285</v>
      </c>
      <c r="U19" s="7">
        <f t="shared" si="11"/>
        <v>0.3</v>
      </c>
      <c r="V19" s="11">
        <f t="shared" si="0"/>
        <v>5.41596493078891</v>
      </c>
      <c r="W19" s="7">
        <f t="shared" si="12"/>
        <v>0.16</v>
      </c>
      <c r="X19" s="11">
        <v>10</v>
      </c>
      <c r="Y19" s="7">
        <v>0</v>
      </c>
      <c r="Z19" s="11">
        <v>63.0973451327434</v>
      </c>
      <c r="AA19" s="7">
        <f t="shared" si="13"/>
        <v>0.61</v>
      </c>
      <c r="AB19" s="12">
        <f t="shared" si="1"/>
        <v>27.0798246539446</v>
      </c>
      <c r="AC19" s="13">
        <f t="shared" si="14"/>
        <v>0.16</v>
      </c>
    </row>
    <row r="20" spans="1:29">
      <c r="A20" s="14">
        <v>45584</v>
      </c>
      <c r="B20" s="15">
        <v>298600</v>
      </c>
      <c r="C20" s="7">
        <f t="shared" si="2"/>
        <v>0.47</v>
      </c>
      <c r="D20" s="16">
        <v>156</v>
      </c>
      <c r="E20" s="7">
        <f t="shared" si="3"/>
        <v>0.28</v>
      </c>
      <c r="F20" s="17">
        <v>362</v>
      </c>
      <c r="G20" s="7">
        <f t="shared" si="4"/>
        <v>0.34</v>
      </c>
      <c r="H20" s="17">
        <v>248</v>
      </c>
      <c r="I20" s="18">
        <f t="shared" si="5"/>
        <v>0.57</v>
      </c>
      <c r="J20" s="19">
        <v>23.6</v>
      </c>
      <c r="K20" s="18">
        <f t="shared" si="6"/>
        <v>0.27</v>
      </c>
      <c r="L20" s="20">
        <v>2.84</v>
      </c>
      <c r="M20" s="7">
        <f t="shared" si="7"/>
        <v>0.05</v>
      </c>
      <c r="N20" s="19">
        <v>32</v>
      </c>
      <c r="O20" s="7">
        <f t="shared" si="8"/>
        <v>0.1</v>
      </c>
      <c r="P20" s="21">
        <v>24.1</v>
      </c>
      <c r="Q20" s="7">
        <f t="shared" si="9"/>
        <v>0.8</v>
      </c>
      <c r="R20" s="11">
        <v>119009.82</v>
      </c>
      <c r="S20" s="7">
        <f t="shared" si="10"/>
        <v>0.18</v>
      </c>
      <c r="T20" s="11">
        <v>2975.2455</v>
      </c>
      <c r="U20" s="7">
        <f t="shared" si="11"/>
        <v>0.18</v>
      </c>
      <c r="V20" s="11">
        <f t="shared" si="0"/>
        <v>9.08271267026536</v>
      </c>
      <c r="W20" s="7">
        <f t="shared" si="12"/>
        <v>0.34</v>
      </c>
      <c r="X20" s="11">
        <v>10</v>
      </c>
      <c r="Y20" s="7">
        <v>0</v>
      </c>
      <c r="Z20" s="11">
        <v>42.7624309392265</v>
      </c>
      <c r="AA20" s="7">
        <f t="shared" si="13"/>
        <v>0.35</v>
      </c>
      <c r="AB20" s="12">
        <f t="shared" si="1"/>
        <v>45.4135633513268</v>
      </c>
      <c r="AC20" s="13">
        <f t="shared" si="14"/>
        <v>0.34</v>
      </c>
    </row>
    <row r="21" spans="1:29">
      <c r="A21" s="14">
        <v>45585</v>
      </c>
      <c r="B21" s="15">
        <v>307900</v>
      </c>
      <c r="C21" s="7">
        <f t="shared" si="2"/>
        <v>0.51</v>
      </c>
      <c r="D21" s="16">
        <v>148</v>
      </c>
      <c r="E21" s="7">
        <f t="shared" si="3"/>
        <v>0.25</v>
      </c>
      <c r="F21" s="17">
        <v>393</v>
      </c>
      <c r="G21" s="7">
        <f t="shared" si="4"/>
        <v>0.4</v>
      </c>
      <c r="H21" s="17">
        <v>184</v>
      </c>
      <c r="I21" s="18">
        <f t="shared" si="5"/>
        <v>0.41</v>
      </c>
      <c r="J21" s="19">
        <v>27</v>
      </c>
      <c r="K21" s="18">
        <f t="shared" si="6"/>
        <v>0.43</v>
      </c>
      <c r="L21" s="20">
        <v>3.21</v>
      </c>
      <c r="M21" s="7">
        <f t="shared" si="7"/>
        <v>0.07</v>
      </c>
      <c r="N21" s="19">
        <v>31.6</v>
      </c>
      <c r="O21" s="7">
        <f t="shared" si="8"/>
        <v>0.09</v>
      </c>
      <c r="P21" s="21">
        <v>24.2</v>
      </c>
      <c r="Q21" s="7">
        <f t="shared" si="9"/>
        <v>0.81</v>
      </c>
      <c r="R21" s="11">
        <v>147188.58</v>
      </c>
      <c r="S21" s="7">
        <f t="shared" si="10"/>
        <v>0.32</v>
      </c>
      <c r="T21" s="11">
        <v>3679.7145</v>
      </c>
      <c r="U21" s="7">
        <f t="shared" si="11"/>
        <v>0.32</v>
      </c>
      <c r="V21" s="11">
        <f t="shared" si="0"/>
        <v>8.22106579192489</v>
      </c>
      <c r="W21" s="7">
        <f t="shared" si="12"/>
        <v>0.3</v>
      </c>
      <c r="X21" s="11">
        <v>10</v>
      </c>
      <c r="Y21" s="7">
        <v>0</v>
      </c>
      <c r="Z21" s="11">
        <v>37.3282442748092</v>
      </c>
      <c r="AA21" s="7">
        <f t="shared" si="13"/>
        <v>0.28</v>
      </c>
      <c r="AB21" s="12">
        <f t="shared" si="1"/>
        <v>41.1053289596245</v>
      </c>
      <c r="AC21" s="13">
        <f t="shared" si="14"/>
        <v>0.3</v>
      </c>
    </row>
    <row r="22" spans="1:29">
      <c r="A22" s="14">
        <v>45586</v>
      </c>
      <c r="B22" s="15">
        <v>302100</v>
      </c>
      <c r="C22" s="7">
        <f t="shared" si="2"/>
        <v>0.48</v>
      </c>
      <c r="D22" s="16">
        <v>160</v>
      </c>
      <c r="E22" s="7">
        <f t="shared" si="3"/>
        <v>0.29</v>
      </c>
      <c r="F22" s="17">
        <v>281</v>
      </c>
      <c r="G22" s="7">
        <f t="shared" si="4"/>
        <v>0.2</v>
      </c>
      <c r="H22" s="17">
        <v>136</v>
      </c>
      <c r="I22" s="18">
        <f t="shared" si="5"/>
        <v>0.3</v>
      </c>
      <c r="J22" s="19">
        <v>23.6</v>
      </c>
      <c r="K22" s="18">
        <f t="shared" si="6"/>
        <v>0.27</v>
      </c>
      <c r="L22" s="20">
        <v>2.81</v>
      </c>
      <c r="M22" s="7">
        <f t="shared" si="7"/>
        <v>0.05</v>
      </c>
      <c r="N22" s="19">
        <v>27.8</v>
      </c>
      <c r="O22" s="7">
        <f t="shared" si="8"/>
        <v>0.02</v>
      </c>
      <c r="P22" s="21">
        <v>24.1</v>
      </c>
      <c r="Q22" s="7">
        <f t="shared" si="9"/>
        <v>0.8</v>
      </c>
      <c r="R22" s="11">
        <v>139278.43</v>
      </c>
      <c r="S22" s="7">
        <f t="shared" si="10"/>
        <v>0.28</v>
      </c>
      <c r="T22" s="11">
        <v>3481.96074999999</v>
      </c>
      <c r="U22" s="7">
        <f t="shared" si="11"/>
        <v>0.28</v>
      </c>
      <c r="V22" s="11">
        <f t="shared" si="0"/>
        <v>6.09499259863859</v>
      </c>
      <c r="W22" s="7">
        <f t="shared" si="12"/>
        <v>0.19</v>
      </c>
      <c r="X22" s="11">
        <v>10</v>
      </c>
      <c r="Y22" s="7">
        <v>0</v>
      </c>
      <c r="Z22" s="11">
        <v>56.3345195729537</v>
      </c>
      <c r="AA22" s="7">
        <f t="shared" si="13"/>
        <v>0.52</v>
      </c>
      <c r="AB22" s="12">
        <f t="shared" si="1"/>
        <v>30.4749629931929</v>
      </c>
      <c r="AC22" s="13">
        <f t="shared" si="14"/>
        <v>0.19</v>
      </c>
    </row>
    <row r="23" spans="1:29">
      <c r="A23" s="14">
        <v>45587</v>
      </c>
      <c r="B23" s="15">
        <v>336600</v>
      </c>
      <c r="C23" s="7">
        <f t="shared" si="2"/>
        <v>0.64</v>
      </c>
      <c r="D23" s="16">
        <v>116</v>
      </c>
      <c r="E23" s="7">
        <f t="shared" si="3"/>
        <v>0.14</v>
      </c>
      <c r="F23" s="17">
        <v>244</v>
      </c>
      <c r="G23" s="7">
        <f t="shared" si="4"/>
        <v>0.14</v>
      </c>
      <c r="H23" s="17">
        <v>144</v>
      </c>
      <c r="I23" s="18">
        <f t="shared" si="5"/>
        <v>0.32</v>
      </c>
      <c r="J23" s="19">
        <v>34.2</v>
      </c>
      <c r="K23" s="18">
        <f t="shared" si="6"/>
        <v>0.76</v>
      </c>
      <c r="L23" s="20">
        <v>3.53</v>
      </c>
      <c r="M23" s="7">
        <f t="shared" si="7"/>
        <v>0.09</v>
      </c>
      <c r="N23" s="19">
        <v>35.9</v>
      </c>
      <c r="O23" s="7">
        <f t="shared" si="8"/>
        <v>0.18</v>
      </c>
      <c r="P23" s="21">
        <v>23.9</v>
      </c>
      <c r="Q23" s="7">
        <f t="shared" si="9"/>
        <v>0.78</v>
      </c>
      <c r="R23" s="11">
        <v>131977</v>
      </c>
      <c r="S23" s="7">
        <f t="shared" si="10"/>
        <v>0.25</v>
      </c>
      <c r="T23" s="11">
        <v>3299.42499999999</v>
      </c>
      <c r="U23" s="7">
        <f t="shared" si="11"/>
        <v>0.25</v>
      </c>
      <c r="V23" s="11">
        <f t="shared" si="0"/>
        <v>6.22308432529912</v>
      </c>
      <c r="W23" s="7">
        <f t="shared" si="12"/>
        <v>0.2</v>
      </c>
      <c r="X23" s="11">
        <v>10</v>
      </c>
      <c r="Y23" s="7">
        <v>0</v>
      </c>
      <c r="Z23" s="11">
        <v>47.0081967213115</v>
      </c>
      <c r="AA23" s="7">
        <f t="shared" si="13"/>
        <v>0.4</v>
      </c>
      <c r="AB23" s="12">
        <f t="shared" si="1"/>
        <v>31.1154216264956</v>
      </c>
      <c r="AC23" s="13">
        <f t="shared" si="14"/>
        <v>0.2</v>
      </c>
    </row>
    <row r="24" spans="1:29">
      <c r="A24" s="14">
        <v>45588</v>
      </c>
      <c r="B24" s="15">
        <v>343200</v>
      </c>
      <c r="C24" s="7">
        <f t="shared" si="2"/>
        <v>0.67</v>
      </c>
      <c r="D24" s="16">
        <v>134</v>
      </c>
      <c r="E24" s="7">
        <f t="shared" si="3"/>
        <v>0.21</v>
      </c>
      <c r="F24" s="17">
        <v>332</v>
      </c>
      <c r="G24" s="7">
        <f t="shared" si="4"/>
        <v>0.29</v>
      </c>
      <c r="H24" s="17">
        <v>148</v>
      </c>
      <c r="I24" s="18">
        <f t="shared" si="5"/>
        <v>0.33</v>
      </c>
      <c r="J24" s="19">
        <v>28.1</v>
      </c>
      <c r="K24" s="18">
        <f t="shared" si="6"/>
        <v>0.48</v>
      </c>
      <c r="L24" s="20">
        <v>4.47</v>
      </c>
      <c r="M24" s="7">
        <f t="shared" si="7"/>
        <v>0.14</v>
      </c>
      <c r="N24" s="19">
        <v>45.9</v>
      </c>
      <c r="O24" s="7">
        <f t="shared" si="8"/>
        <v>0.37</v>
      </c>
      <c r="P24" s="21">
        <v>23.8</v>
      </c>
      <c r="Q24" s="7">
        <f t="shared" si="9"/>
        <v>0.77</v>
      </c>
      <c r="R24" s="11">
        <v>138013.66</v>
      </c>
      <c r="S24" s="7">
        <f t="shared" si="10"/>
        <v>0.27</v>
      </c>
      <c r="T24" s="11">
        <v>3450.34149999999</v>
      </c>
      <c r="U24" s="7">
        <f t="shared" si="11"/>
        <v>0.27</v>
      </c>
      <c r="V24" s="11">
        <f t="shared" si="0"/>
        <v>8.2558784398588</v>
      </c>
      <c r="W24" s="7">
        <f t="shared" si="12"/>
        <v>0.3</v>
      </c>
      <c r="X24" s="11">
        <v>10</v>
      </c>
      <c r="Y24" s="7">
        <v>0</v>
      </c>
      <c r="Z24" s="11">
        <v>40.1807228915663</v>
      </c>
      <c r="AA24" s="7">
        <f t="shared" si="13"/>
        <v>0.32</v>
      </c>
      <c r="AB24" s="12">
        <f t="shared" si="1"/>
        <v>41.279392199294</v>
      </c>
      <c r="AC24" s="13">
        <f t="shared" si="14"/>
        <v>0.3</v>
      </c>
    </row>
    <row r="25" spans="1:29">
      <c r="A25" s="14">
        <v>45589</v>
      </c>
      <c r="B25" s="15">
        <v>358200</v>
      </c>
      <c r="C25" s="7">
        <f t="shared" si="2"/>
        <v>0.73</v>
      </c>
      <c r="D25" s="16">
        <v>126</v>
      </c>
      <c r="E25" s="7">
        <f t="shared" si="3"/>
        <v>0.18</v>
      </c>
      <c r="F25" s="17">
        <v>358</v>
      </c>
      <c r="G25" s="7">
        <f t="shared" si="4"/>
        <v>0.34</v>
      </c>
      <c r="H25" s="17">
        <v>132</v>
      </c>
      <c r="I25" s="18">
        <f t="shared" si="5"/>
        <v>0.29</v>
      </c>
      <c r="J25" s="19">
        <v>29.9</v>
      </c>
      <c r="K25" s="18">
        <f t="shared" si="6"/>
        <v>0.56</v>
      </c>
      <c r="L25" s="20">
        <v>3.97</v>
      </c>
      <c r="M25" s="7">
        <f t="shared" si="7"/>
        <v>0.11</v>
      </c>
      <c r="N25" s="19">
        <v>47.1</v>
      </c>
      <c r="O25" s="7">
        <f t="shared" si="8"/>
        <v>0.39</v>
      </c>
      <c r="P25" s="21">
        <v>23.6</v>
      </c>
      <c r="Q25" s="7">
        <f t="shared" si="9"/>
        <v>0.75</v>
      </c>
      <c r="R25" s="11">
        <v>137437.64</v>
      </c>
      <c r="S25" s="7">
        <f t="shared" si="10"/>
        <v>0.27</v>
      </c>
      <c r="T25" s="11">
        <v>3435.94099999999</v>
      </c>
      <c r="U25" s="7">
        <f t="shared" si="11"/>
        <v>0.27</v>
      </c>
      <c r="V25" s="11">
        <f t="shared" si="0"/>
        <v>9.33045707129432</v>
      </c>
      <c r="W25" s="7">
        <f t="shared" si="12"/>
        <v>0.36</v>
      </c>
      <c r="X25" s="11">
        <v>10</v>
      </c>
      <c r="Y25" s="7">
        <v>0</v>
      </c>
      <c r="Z25" s="11">
        <v>35.0279329608939</v>
      </c>
      <c r="AA25" s="7">
        <f t="shared" si="13"/>
        <v>0.25</v>
      </c>
      <c r="AB25" s="12">
        <f t="shared" si="1"/>
        <v>46.6522853564716</v>
      </c>
      <c r="AC25" s="13">
        <f t="shared" si="14"/>
        <v>0.36</v>
      </c>
    </row>
    <row r="26" spans="1:29">
      <c r="A26" s="14">
        <v>45590</v>
      </c>
      <c r="B26" s="15">
        <v>360200</v>
      </c>
      <c r="C26" s="7">
        <f t="shared" si="2"/>
        <v>0.74</v>
      </c>
      <c r="D26" s="16">
        <v>118</v>
      </c>
      <c r="E26" s="7">
        <f t="shared" si="3"/>
        <v>0.15</v>
      </c>
      <c r="F26" s="17">
        <v>285</v>
      </c>
      <c r="G26" s="7">
        <f t="shared" si="4"/>
        <v>0.21</v>
      </c>
      <c r="H26" s="17">
        <v>132</v>
      </c>
      <c r="I26" s="18">
        <f t="shared" si="5"/>
        <v>0.29</v>
      </c>
      <c r="J26" s="19">
        <v>25.8</v>
      </c>
      <c r="K26" s="18">
        <f t="shared" si="6"/>
        <v>0.37</v>
      </c>
      <c r="L26" s="20">
        <v>3.93</v>
      </c>
      <c r="M26" s="7">
        <f t="shared" si="7"/>
        <v>0.11</v>
      </c>
      <c r="N26" s="19">
        <v>40.8</v>
      </c>
      <c r="O26" s="7">
        <f t="shared" si="8"/>
        <v>0.27</v>
      </c>
      <c r="P26" s="21">
        <v>23.4</v>
      </c>
      <c r="Q26" s="7">
        <f t="shared" si="9"/>
        <v>0.74</v>
      </c>
      <c r="R26" s="11">
        <v>138299.68</v>
      </c>
      <c r="S26" s="7">
        <f t="shared" si="10"/>
        <v>0.28</v>
      </c>
      <c r="T26" s="11">
        <v>3457.49199999999</v>
      </c>
      <c r="U26" s="7">
        <f t="shared" si="11"/>
        <v>0.28</v>
      </c>
      <c r="V26" s="11">
        <f t="shared" si="0"/>
        <v>7.42279374760667</v>
      </c>
      <c r="W26" s="7">
        <f t="shared" si="12"/>
        <v>0.26</v>
      </c>
      <c r="X26" s="11">
        <v>10</v>
      </c>
      <c r="Y26" s="7">
        <v>0</v>
      </c>
      <c r="Z26" s="11">
        <v>41.0526315789474</v>
      </c>
      <c r="AA26" s="7">
        <f t="shared" si="13"/>
        <v>0.33</v>
      </c>
      <c r="AB26" s="12">
        <f t="shared" si="1"/>
        <v>37.1139687380333</v>
      </c>
      <c r="AC26" s="13">
        <f t="shared" si="14"/>
        <v>0.26</v>
      </c>
    </row>
    <row r="27" spans="1:29">
      <c r="A27" s="14">
        <v>45591</v>
      </c>
      <c r="B27" s="15">
        <v>370900</v>
      </c>
      <c r="C27" s="7">
        <f t="shared" si="2"/>
        <v>0.79</v>
      </c>
      <c r="D27" s="16">
        <v>122</v>
      </c>
      <c r="E27" s="7">
        <f t="shared" si="3"/>
        <v>0.16</v>
      </c>
      <c r="F27" s="17">
        <v>311</v>
      </c>
      <c r="G27" s="7">
        <f t="shared" si="4"/>
        <v>0.25</v>
      </c>
      <c r="H27" s="17">
        <v>144</v>
      </c>
      <c r="I27" s="18">
        <f t="shared" si="5"/>
        <v>0.32</v>
      </c>
      <c r="J27" s="19">
        <v>27.4</v>
      </c>
      <c r="K27" s="18">
        <f t="shared" si="6"/>
        <v>0.45</v>
      </c>
      <c r="L27" s="20">
        <v>3.24</v>
      </c>
      <c r="M27" s="7">
        <f t="shared" si="7"/>
        <v>0.07</v>
      </c>
      <c r="N27" s="19">
        <v>28.5</v>
      </c>
      <c r="O27" s="7">
        <f t="shared" si="8"/>
        <v>0.03</v>
      </c>
      <c r="P27" s="21">
        <v>23.2</v>
      </c>
      <c r="Q27" s="7">
        <f t="shared" si="9"/>
        <v>0.72</v>
      </c>
      <c r="R27" s="11">
        <v>140366.46</v>
      </c>
      <c r="S27" s="7">
        <f t="shared" si="10"/>
        <v>0.29</v>
      </c>
      <c r="T27" s="11">
        <v>3509.1615</v>
      </c>
      <c r="U27" s="7">
        <f t="shared" si="11"/>
        <v>0.29</v>
      </c>
      <c r="V27" s="11">
        <f t="shared" si="0"/>
        <v>8.21776797676596</v>
      </c>
      <c r="W27" s="7">
        <f t="shared" si="12"/>
        <v>0.3</v>
      </c>
      <c r="X27" s="11">
        <v>10</v>
      </c>
      <c r="Y27" s="7">
        <v>0</v>
      </c>
      <c r="Z27" s="11">
        <v>38.9389067524116</v>
      </c>
      <c r="AA27" s="7">
        <f t="shared" si="13"/>
        <v>0.3</v>
      </c>
      <c r="AB27" s="12">
        <f t="shared" si="1"/>
        <v>41.0888398838298</v>
      </c>
      <c r="AC27" s="13">
        <f t="shared" si="14"/>
        <v>0.3</v>
      </c>
    </row>
    <row r="28" spans="1:29">
      <c r="A28" s="14">
        <v>45592</v>
      </c>
      <c r="B28" s="15">
        <v>414100</v>
      </c>
      <c r="C28" s="7">
        <f t="shared" si="2"/>
        <v>0.98</v>
      </c>
      <c r="D28" s="16">
        <v>128</v>
      </c>
      <c r="E28" s="7">
        <f t="shared" si="3"/>
        <v>0.19</v>
      </c>
      <c r="F28" s="17">
        <v>239</v>
      </c>
      <c r="G28" s="7">
        <f t="shared" si="4"/>
        <v>0.13</v>
      </c>
      <c r="H28" s="17">
        <v>108</v>
      </c>
      <c r="I28" s="18">
        <f t="shared" si="5"/>
        <v>0.23</v>
      </c>
      <c r="J28" s="19">
        <v>28.2</v>
      </c>
      <c r="K28" s="18">
        <f t="shared" si="6"/>
        <v>0.48</v>
      </c>
      <c r="L28" s="20">
        <v>2.78</v>
      </c>
      <c r="M28" s="7">
        <f t="shared" si="7"/>
        <v>0.05</v>
      </c>
      <c r="N28" s="19">
        <v>34.6</v>
      </c>
      <c r="O28" s="7">
        <f t="shared" si="8"/>
        <v>0.15</v>
      </c>
      <c r="P28" s="21">
        <v>23.1</v>
      </c>
      <c r="Q28" s="7">
        <f t="shared" si="9"/>
        <v>0.71</v>
      </c>
      <c r="R28" s="11">
        <v>145427.84</v>
      </c>
      <c r="S28" s="7">
        <f t="shared" si="10"/>
        <v>0.31</v>
      </c>
      <c r="T28" s="11">
        <v>3635.696</v>
      </c>
      <c r="U28" s="7">
        <f t="shared" si="11"/>
        <v>0.31</v>
      </c>
      <c r="V28" s="11">
        <f t="shared" si="0"/>
        <v>6.80543010196672</v>
      </c>
      <c r="W28" s="7">
        <f t="shared" si="12"/>
        <v>0.23</v>
      </c>
      <c r="X28" s="11">
        <v>10</v>
      </c>
      <c r="Y28" s="7">
        <v>0</v>
      </c>
      <c r="Z28" s="11">
        <v>53.0543933054393</v>
      </c>
      <c r="AA28" s="7">
        <f t="shared" si="13"/>
        <v>0.48</v>
      </c>
      <c r="AB28" s="12">
        <f t="shared" si="1"/>
        <v>34.0271505098336</v>
      </c>
      <c r="AC28" s="13">
        <f t="shared" si="14"/>
        <v>0.23</v>
      </c>
    </row>
    <row r="29" spans="1:29">
      <c r="A29" s="14">
        <v>45593</v>
      </c>
      <c r="B29" s="15">
        <v>355500</v>
      </c>
      <c r="C29" s="7">
        <f t="shared" si="2"/>
        <v>0.72</v>
      </c>
      <c r="D29" s="16">
        <v>96</v>
      </c>
      <c r="E29" s="7">
        <f t="shared" si="3"/>
        <v>0.08</v>
      </c>
      <c r="F29" s="17">
        <v>229</v>
      </c>
      <c r="G29" s="7">
        <f t="shared" si="4"/>
        <v>0.11</v>
      </c>
      <c r="H29" s="17">
        <v>135</v>
      </c>
      <c r="I29" s="18">
        <f t="shared" si="5"/>
        <v>0.3</v>
      </c>
      <c r="J29" s="19">
        <v>17.7</v>
      </c>
      <c r="K29" s="18">
        <f t="shared" si="6"/>
        <v>0</v>
      </c>
      <c r="L29" s="20">
        <v>3.5</v>
      </c>
      <c r="M29" s="7">
        <f t="shared" si="7"/>
        <v>0.09</v>
      </c>
      <c r="N29" s="19">
        <v>37.1</v>
      </c>
      <c r="O29" s="7">
        <f t="shared" si="8"/>
        <v>0.2</v>
      </c>
      <c r="P29" s="21">
        <v>23.1</v>
      </c>
      <c r="Q29" s="7">
        <f t="shared" si="9"/>
        <v>0.71</v>
      </c>
      <c r="R29" s="11">
        <v>89525.28</v>
      </c>
      <c r="S29" s="7">
        <f t="shared" si="10"/>
        <v>0.04</v>
      </c>
      <c r="T29" s="11">
        <v>2238.132</v>
      </c>
      <c r="U29" s="7">
        <f t="shared" si="11"/>
        <v>0.04</v>
      </c>
      <c r="V29" s="11">
        <f t="shared" si="0"/>
        <v>9.09346499670261</v>
      </c>
      <c r="W29" s="7">
        <f t="shared" si="12"/>
        <v>0.35</v>
      </c>
      <c r="X29" s="11">
        <v>10</v>
      </c>
      <c r="Y29" s="7">
        <v>0</v>
      </c>
      <c r="Z29" s="11">
        <v>41.528384279476</v>
      </c>
      <c r="AA29" s="7">
        <f t="shared" si="13"/>
        <v>0.33</v>
      </c>
      <c r="AB29" s="12">
        <f t="shared" si="1"/>
        <v>45.467324983513</v>
      </c>
      <c r="AC29" s="13">
        <f t="shared" si="14"/>
        <v>0.35</v>
      </c>
    </row>
    <row r="30" spans="1:29">
      <c r="A30" s="14">
        <v>45594</v>
      </c>
      <c r="B30" s="15">
        <v>350000</v>
      </c>
      <c r="C30" s="7">
        <f t="shared" si="2"/>
        <v>0.7</v>
      </c>
      <c r="D30" s="16">
        <v>124</v>
      </c>
      <c r="E30" s="7">
        <f t="shared" si="3"/>
        <v>0.17</v>
      </c>
      <c r="F30" s="17">
        <v>210</v>
      </c>
      <c r="G30" s="7">
        <f t="shared" si="4"/>
        <v>0.08</v>
      </c>
      <c r="H30" s="17">
        <v>112</v>
      </c>
      <c r="I30" s="18">
        <f t="shared" si="5"/>
        <v>0.24</v>
      </c>
      <c r="J30" s="19">
        <v>22.4</v>
      </c>
      <c r="K30" s="18">
        <f t="shared" si="6"/>
        <v>0.22</v>
      </c>
      <c r="L30" s="20">
        <v>4.14</v>
      </c>
      <c r="M30" s="7">
        <f t="shared" si="7"/>
        <v>0.12</v>
      </c>
      <c r="N30" s="19">
        <v>35.9</v>
      </c>
      <c r="O30" s="7">
        <f t="shared" si="8"/>
        <v>0.18</v>
      </c>
      <c r="P30" s="21">
        <v>22.9</v>
      </c>
      <c r="Q30" s="7">
        <f t="shared" si="9"/>
        <v>0.69</v>
      </c>
      <c r="R30" s="11">
        <v>121082.97</v>
      </c>
      <c r="S30" s="7">
        <f t="shared" si="10"/>
        <v>0.19</v>
      </c>
      <c r="T30" s="11">
        <v>3027.07425</v>
      </c>
      <c r="U30" s="7">
        <f t="shared" si="11"/>
        <v>0.19</v>
      </c>
      <c r="V30" s="11">
        <f t="shared" si="0"/>
        <v>6.07021780189237</v>
      </c>
      <c r="W30" s="7">
        <f t="shared" si="12"/>
        <v>0.19</v>
      </c>
      <c r="X30" s="11">
        <v>10</v>
      </c>
      <c r="Y30" s="7">
        <v>0</v>
      </c>
      <c r="Z30" s="11">
        <v>58.5714285714286</v>
      </c>
      <c r="AA30" s="7">
        <f t="shared" si="13"/>
        <v>0.55</v>
      </c>
      <c r="AB30" s="12">
        <f t="shared" si="1"/>
        <v>30.3510890094619</v>
      </c>
      <c r="AC30" s="13">
        <f t="shared" si="14"/>
        <v>0.19</v>
      </c>
    </row>
    <row r="31" spans="1:29">
      <c r="A31" s="14">
        <v>45595</v>
      </c>
      <c r="B31" s="15">
        <v>357100</v>
      </c>
      <c r="C31" s="7">
        <f t="shared" si="2"/>
        <v>0.73</v>
      </c>
      <c r="D31" s="16">
        <v>180</v>
      </c>
      <c r="E31" s="7">
        <f t="shared" si="3"/>
        <v>0.36</v>
      </c>
      <c r="F31" s="17">
        <v>305</v>
      </c>
      <c r="G31" s="7">
        <f t="shared" si="4"/>
        <v>0.24</v>
      </c>
      <c r="H31" s="17">
        <v>188</v>
      </c>
      <c r="I31" s="18">
        <f t="shared" si="5"/>
        <v>0.42</v>
      </c>
      <c r="J31" s="19">
        <v>26.5</v>
      </c>
      <c r="K31" s="18">
        <f t="shared" si="6"/>
        <v>0.41</v>
      </c>
      <c r="L31" s="20">
        <v>3.5</v>
      </c>
      <c r="M31" s="7">
        <f t="shared" si="7"/>
        <v>0.09</v>
      </c>
      <c r="N31" s="19">
        <v>30.5</v>
      </c>
      <c r="O31" s="7">
        <f t="shared" si="8"/>
        <v>0.07</v>
      </c>
      <c r="P31" s="21">
        <v>22.9</v>
      </c>
      <c r="Q31" s="7">
        <f t="shared" si="9"/>
        <v>0.69</v>
      </c>
      <c r="R31" s="11">
        <v>123297.9</v>
      </c>
      <c r="S31" s="7">
        <f t="shared" si="10"/>
        <v>0.2</v>
      </c>
      <c r="T31" s="11">
        <v>3082.4475</v>
      </c>
      <c r="U31" s="7">
        <f t="shared" si="11"/>
        <v>0.2</v>
      </c>
      <c r="V31" s="11">
        <f t="shared" si="0"/>
        <v>8.8335243341533</v>
      </c>
      <c r="W31" s="7">
        <f t="shared" si="12"/>
        <v>0.33</v>
      </c>
      <c r="X31" s="11">
        <v>10</v>
      </c>
      <c r="Y31" s="7">
        <v>0</v>
      </c>
      <c r="Z31" s="11">
        <v>58.8196721311475</v>
      </c>
      <c r="AA31" s="7">
        <f t="shared" si="13"/>
        <v>0.55</v>
      </c>
      <c r="AB31" s="12">
        <f t="shared" si="1"/>
        <v>44.1676216707665</v>
      </c>
      <c r="AC31" s="13">
        <f t="shared" si="14"/>
        <v>0.33</v>
      </c>
    </row>
    <row r="32" spans="1:29">
      <c r="A32" s="14">
        <v>45596</v>
      </c>
      <c r="B32" s="15">
        <v>391800</v>
      </c>
      <c r="C32" s="7">
        <f t="shared" si="2"/>
        <v>0.88</v>
      </c>
      <c r="D32" s="16">
        <v>158</v>
      </c>
      <c r="E32" s="7">
        <f t="shared" si="3"/>
        <v>0.29</v>
      </c>
      <c r="F32" s="17">
        <v>241</v>
      </c>
      <c r="G32" s="7">
        <f t="shared" si="4"/>
        <v>0.13</v>
      </c>
      <c r="H32" s="17">
        <v>156</v>
      </c>
      <c r="I32" s="18">
        <f t="shared" si="5"/>
        <v>0.35</v>
      </c>
      <c r="J32" s="19">
        <v>31.9</v>
      </c>
      <c r="K32" s="18">
        <f t="shared" si="6"/>
        <v>0.65</v>
      </c>
      <c r="L32" s="20">
        <v>3.74</v>
      </c>
      <c r="M32" s="7">
        <f t="shared" si="7"/>
        <v>0.1</v>
      </c>
      <c r="N32" s="19">
        <v>33.2</v>
      </c>
      <c r="O32" s="7">
        <f t="shared" si="8"/>
        <v>0.12</v>
      </c>
      <c r="P32" s="21">
        <v>22.8</v>
      </c>
      <c r="Q32" s="7">
        <f t="shared" si="9"/>
        <v>0.69</v>
      </c>
      <c r="R32" s="11">
        <v>137245.46</v>
      </c>
      <c r="S32" s="7">
        <f t="shared" si="10"/>
        <v>0.27</v>
      </c>
      <c r="T32" s="11">
        <v>3431.1365</v>
      </c>
      <c r="U32" s="7">
        <f t="shared" si="11"/>
        <v>0.27</v>
      </c>
      <c r="V32" s="11">
        <f t="shared" si="0"/>
        <v>6.87992156534723</v>
      </c>
      <c r="W32" s="7">
        <f t="shared" si="12"/>
        <v>0.23</v>
      </c>
      <c r="X32" s="11">
        <v>10</v>
      </c>
      <c r="Y32" s="7">
        <v>0</v>
      </c>
      <c r="Z32" s="11">
        <v>65.2282157676349</v>
      </c>
      <c r="AA32" s="7">
        <f t="shared" si="13"/>
        <v>0.63</v>
      </c>
      <c r="AB32" s="12">
        <f t="shared" si="1"/>
        <v>34.3996078267361</v>
      </c>
      <c r="AC32" s="13">
        <f t="shared" si="14"/>
        <v>0.23</v>
      </c>
    </row>
    <row r="33" spans="1:29">
      <c r="A33" s="14">
        <v>45597</v>
      </c>
      <c r="B33" s="15">
        <v>417500</v>
      </c>
      <c r="C33" s="7">
        <f t="shared" si="2"/>
        <v>1</v>
      </c>
      <c r="D33" s="16">
        <v>160</v>
      </c>
      <c r="E33" s="7">
        <f t="shared" si="3"/>
        <v>0.29</v>
      </c>
      <c r="F33" s="17">
        <v>315</v>
      </c>
      <c r="G33" s="7">
        <f t="shared" si="4"/>
        <v>0.26</v>
      </c>
      <c r="H33" s="17">
        <v>140</v>
      </c>
      <c r="I33" s="18">
        <f t="shared" si="5"/>
        <v>0.31</v>
      </c>
      <c r="J33" s="19">
        <v>26.2</v>
      </c>
      <c r="K33" s="18">
        <f t="shared" si="6"/>
        <v>0.39</v>
      </c>
      <c r="L33" s="20">
        <v>3.28</v>
      </c>
      <c r="M33" s="7">
        <f t="shared" si="7"/>
        <v>0.07</v>
      </c>
      <c r="N33" s="19">
        <v>35.8</v>
      </c>
      <c r="O33" s="7">
        <f t="shared" si="8"/>
        <v>0.17</v>
      </c>
      <c r="P33" s="21">
        <v>22.7</v>
      </c>
      <c r="Q33" s="7">
        <f t="shared" si="9"/>
        <v>0.68</v>
      </c>
      <c r="R33" s="11">
        <v>107585.76</v>
      </c>
      <c r="S33" s="7">
        <f t="shared" si="10"/>
        <v>0.13</v>
      </c>
      <c r="T33" s="11">
        <v>2689.644</v>
      </c>
      <c r="U33" s="7">
        <f t="shared" si="11"/>
        <v>0.13</v>
      </c>
      <c r="V33" s="11">
        <f t="shared" si="0"/>
        <v>12.2239690457176</v>
      </c>
      <c r="W33" s="7">
        <f t="shared" si="12"/>
        <v>0.5</v>
      </c>
      <c r="X33" s="11">
        <v>10</v>
      </c>
      <c r="Y33" s="7">
        <v>0</v>
      </c>
      <c r="Z33" s="11">
        <v>50.4761904761905</v>
      </c>
      <c r="AA33" s="7">
        <f t="shared" si="13"/>
        <v>0.45</v>
      </c>
      <c r="AB33" s="12">
        <f t="shared" si="1"/>
        <v>61.1198452285879</v>
      </c>
      <c r="AC33" s="13">
        <f t="shared" si="14"/>
        <v>0.5</v>
      </c>
    </row>
    <row r="34" spans="1:29">
      <c r="A34" s="14">
        <v>45598</v>
      </c>
      <c r="B34" s="15">
        <v>417400</v>
      </c>
      <c r="C34" s="7">
        <f t="shared" si="2"/>
        <v>1</v>
      </c>
      <c r="D34" s="16">
        <v>148</v>
      </c>
      <c r="E34" s="7">
        <f t="shared" si="3"/>
        <v>0.25</v>
      </c>
      <c r="F34" s="17">
        <v>256</v>
      </c>
      <c r="G34" s="7">
        <f t="shared" si="4"/>
        <v>0.16</v>
      </c>
      <c r="H34" s="17">
        <v>112</v>
      </c>
      <c r="I34" s="18">
        <f t="shared" si="5"/>
        <v>0.24</v>
      </c>
      <c r="J34" s="19">
        <v>31.1</v>
      </c>
      <c r="K34" s="18">
        <f t="shared" si="6"/>
        <v>0.62</v>
      </c>
      <c r="L34" s="20">
        <v>2.78</v>
      </c>
      <c r="M34" s="7">
        <f t="shared" si="7"/>
        <v>0.05</v>
      </c>
      <c r="N34" s="19">
        <v>41.6</v>
      </c>
      <c r="O34" s="7">
        <f t="shared" si="8"/>
        <v>0.28</v>
      </c>
      <c r="P34" s="21">
        <v>22.2</v>
      </c>
      <c r="Q34" s="7">
        <f t="shared" si="9"/>
        <v>0.64</v>
      </c>
      <c r="R34" s="11">
        <v>81902.94</v>
      </c>
      <c r="S34" s="7">
        <f t="shared" si="10"/>
        <v>0.01</v>
      </c>
      <c r="T34" s="11">
        <v>2047.5735</v>
      </c>
      <c r="U34" s="7">
        <f t="shared" si="11"/>
        <v>0.01</v>
      </c>
      <c r="V34" s="11">
        <f t="shared" si="0"/>
        <v>13.0464669522242</v>
      </c>
      <c r="W34" s="7">
        <f t="shared" si="12"/>
        <v>0.55</v>
      </c>
      <c r="X34" s="11">
        <v>10</v>
      </c>
      <c r="Y34" s="7">
        <v>0</v>
      </c>
      <c r="Z34" s="11">
        <v>57.1875</v>
      </c>
      <c r="AA34" s="7">
        <f t="shared" si="13"/>
        <v>0.53</v>
      </c>
      <c r="AB34" s="12">
        <f t="shared" si="1"/>
        <v>65.2323347611209</v>
      </c>
      <c r="AC34" s="13">
        <f t="shared" si="14"/>
        <v>0.55</v>
      </c>
    </row>
    <row r="35" spans="1:29">
      <c r="A35" s="14">
        <v>45600</v>
      </c>
      <c r="B35" s="15">
        <v>383000</v>
      </c>
      <c r="C35" s="7">
        <f t="shared" ref="C35:C66" si="15">ROUND((B35-MIN($B$2:$B$182))/(MAX($B$2:$B$182)-MIN($B$2:$B$182)),2)</f>
        <v>0.85</v>
      </c>
      <c r="D35" s="16">
        <v>230</v>
      </c>
      <c r="E35" s="7">
        <f t="shared" ref="E35:E66" si="16">ROUND((D35-MIN($D$2:$D$182))/(MAX($D$2:$D$182)-MIN($D$2:$D$182)),2)</f>
        <v>0.53</v>
      </c>
      <c r="F35" s="17">
        <v>430</v>
      </c>
      <c r="G35" s="7">
        <f t="shared" ref="G35:G66" si="17">ROUND((F35-MIN($F$2:$F$182))/(MAX($F$2:$F$182)-MIN($F$2:$F$182)),2)</f>
        <v>0.46</v>
      </c>
      <c r="H35" s="17">
        <v>316</v>
      </c>
      <c r="I35" s="18">
        <f t="shared" ref="I35:I66" si="18">ROUND((H35-MIN($H$2:$H$182))/(MAX($H$2:$H$182)-MIN($H$2:$H$182)),2)</f>
        <v>0.73</v>
      </c>
      <c r="J35" s="19">
        <v>21</v>
      </c>
      <c r="K35" s="18">
        <f t="shared" ref="K35:K66" si="19">ROUND((J35-MIN($J$2:$J$182))/(MAX($J$2:$J$182)-MIN($J$2:$J$182)),2)</f>
        <v>0.15</v>
      </c>
      <c r="L35" s="20">
        <v>5.4</v>
      </c>
      <c r="M35" s="7">
        <f t="shared" ref="M35:M66" si="20">ROUND((L35-MIN($L$2:$L$182))/(MAX($L$2:$L$182)-MIN($L$2:$L$182)),2)</f>
        <v>0.2</v>
      </c>
      <c r="N35" s="19">
        <v>39.8</v>
      </c>
      <c r="O35" s="7">
        <f t="shared" ref="O35:O66" si="21">ROUND((N35-MIN($N$2:$N$182))/(MAX($N$2:$N$182)-MIN($N$2:$N$182)),2)</f>
        <v>0.25</v>
      </c>
      <c r="P35" s="21">
        <v>21.5</v>
      </c>
      <c r="Q35" s="7">
        <f t="shared" ref="Q35:Q66" si="22">ROUND((P35-MIN($P$2:$P$182))/(MAX($P$2:$P$182)-MIN($P$2:$P$182)),2)</f>
        <v>0.58</v>
      </c>
      <c r="R35" s="11">
        <v>86016.1200000001</v>
      </c>
      <c r="S35" s="7">
        <f t="shared" ref="S35:S66" si="23">ROUND((R35-MIN($R$2:$R$182))/(MAX($R$2:$R$182)-MIN($R$2:$R$182)),2)</f>
        <v>0.03</v>
      </c>
      <c r="T35" s="11">
        <v>2150.403</v>
      </c>
      <c r="U35" s="7">
        <f t="shared" ref="U35:U66" si="24">ROUND((T35-MIN($T$2:$T$182))/(MAX($T$2:$T$182)-MIN($T$2:$T$182)),2)</f>
        <v>0.03</v>
      </c>
      <c r="V35" s="11">
        <f t="shared" si="0"/>
        <v>19.1464111610707</v>
      </c>
      <c r="W35" s="7">
        <f t="shared" ref="W35:W66" si="25">ROUND((V35-MIN($V$2:$V$182))/(MAX($V$2:$V$182)-MIN($V$2:$V$182)),2)</f>
        <v>0.86</v>
      </c>
      <c r="X35" s="11">
        <v>10</v>
      </c>
      <c r="Y35" s="7">
        <v>0</v>
      </c>
      <c r="Z35" s="11">
        <v>53.3255813953488</v>
      </c>
      <c r="AA35" s="7">
        <f t="shared" ref="AA35:AA66" si="26">ROUND((Z35-MIN($Z$2:$Z$182))/(MAX($Z$2:$Z$182)-MIN($Z$2:$Z$182)),2)</f>
        <v>0.48</v>
      </c>
      <c r="AB35" s="12">
        <f t="shared" si="1"/>
        <v>95.7320558053537</v>
      </c>
      <c r="AC35" s="13">
        <f t="shared" ref="AC35:AC66" si="27">ROUND((AB35-MIN($AB$2:$AB$182))/(MAX($AB$2:$AB$182)-MIN($AB$2:$AB$182)),2)</f>
        <v>0.86</v>
      </c>
    </row>
    <row r="36" spans="1:29">
      <c r="A36" s="14">
        <v>45601</v>
      </c>
      <c r="B36" s="15">
        <v>394000</v>
      </c>
      <c r="C36" s="7">
        <f t="shared" si="15"/>
        <v>0.89</v>
      </c>
      <c r="D36" s="16">
        <v>114</v>
      </c>
      <c r="E36" s="7">
        <f t="shared" si="16"/>
        <v>0.14</v>
      </c>
      <c r="F36" s="17">
        <v>188</v>
      </c>
      <c r="G36" s="7">
        <f t="shared" si="17"/>
        <v>0.04</v>
      </c>
      <c r="H36" s="17">
        <v>132</v>
      </c>
      <c r="I36" s="18">
        <f t="shared" si="18"/>
        <v>0.29</v>
      </c>
      <c r="J36" s="19">
        <v>20.1</v>
      </c>
      <c r="K36" s="18">
        <f t="shared" si="19"/>
        <v>0.11</v>
      </c>
      <c r="L36" s="20">
        <v>3.16</v>
      </c>
      <c r="M36" s="7">
        <f t="shared" si="20"/>
        <v>0.07</v>
      </c>
      <c r="N36" s="19">
        <v>30.1</v>
      </c>
      <c r="O36" s="7">
        <f t="shared" si="21"/>
        <v>0.07</v>
      </c>
      <c r="P36" s="21">
        <v>21.8</v>
      </c>
      <c r="Q36" s="7">
        <f t="shared" si="22"/>
        <v>0.6</v>
      </c>
      <c r="R36" s="11">
        <v>98327.74</v>
      </c>
      <c r="S36" s="7">
        <f t="shared" si="23"/>
        <v>0.09</v>
      </c>
      <c r="T36" s="11">
        <v>2458.1935</v>
      </c>
      <c r="U36" s="7">
        <f t="shared" si="24"/>
        <v>0.09</v>
      </c>
      <c r="V36" s="11">
        <f t="shared" si="0"/>
        <v>7.53317425987824</v>
      </c>
      <c r="W36" s="7">
        <f t="shared" si="25"/>
        <v>0.27</v>
      </c>
      <c r="X36" s="11">
        <v>10</v>
      </c>
      <c r="Y36" s="7">
        <v>0</v>
      </c>
      <c r="Z36" s="11">
        <v>60.2127659574468</v>
      </c>
      <c r="AA36" s="7">
        <f t="shared" si="26"/>
        <v>0.57</v>
      </c>
      <c r="AB36" s="12">
        <f t="shared" si="1"/>
        <v>37.6658712993912</v>
      </c>
      <c r="AC36" s="13">
        <f t="shared" si="27"/>
        <v>0.27</v>
      </c>
    </row>
    <row r="37" spans="1:29">
      <c r="A37" s="14">
        <v>45602</v>
      </c>
      <c r="B37" s="15">
        <v>376200</v>
      </c>
      <c r="C37" s="7">
        <f t="shared" si="15"/>
        <v>0.82</v>
      </c>
      <c r="D37" s="16">
        <v>127</v>
      </c>
      <c r="E37" s="7">
        <f t="shared" si="16"/>
        <v>0.18</v>
      </c>
      <c r="F37" s="17">
        <v>254</v>
      </c>
      <c r="G37" s="7">
        <f t="shared" si="17"/>
        <v>0.15</v>
      </c>
      <c r="H37" s="17">
        <v>128</v>
      </c>
      <c r="I37" s="18">
        <f t="shared" si="18"/>
        <v>0.28</v>
      </c>
      <c r="J37" s="19">
        <v>26.8</v>
      </c>
      <c r="K37" s="18">
        <f t="shared" si="19"/>
        <v>0.42</v>
      </c>
      <c r="L37" s="20">
        <v>3.48</v>
      </c>
      <c r="M37" s="7">
        <f t="shared" si="20"/>
        <v>0.09</v>
      </c>
      <c r="N37" s="19">
        <v>33.2</v>
      </c>
      <c r="O37" s="7">
        <f t="shared" si="21"/>
        <v>0.12</v>
      </c>
      <c r="P37" s="21">
        <v>22</v>
      </c>
      <c r="Q37" s="7">
        <f t="shared" si="22"/>
        <v>0.62</v>
      </c>
      <c r="R37" s="11">
        <v>80106.88</v>
      </c>
      <c r="S37" s="7">
        <f t="shared" si="23"/>
        <v>0</v>
      </c>
      <c r="T37" s="11">
        <v>2002.672</v>
      </c>
      <c r="U37" s="7">
        <f t="shared" si="24"/>
        <v>0</v>
      </c>
      <c r="V37" s="11">
        <f t="shared" si="0"/>
        <v>11.9284136393778</v>
      </c>
      <c r="W37" s="7">
        <f t="shared" si="25"/>
        <v>0.49</v>
      </c>
      <c r="X37" s="11">
        <v>10</v>
      </c>
      <c r="Y37" s="7">
        <v>0</v>
      </c>
      <c r="Z37" s="11">
        <v>49.7637795275591</v>
      </c>
      <c r="AA37" s="7">
        <f t="shared" si="26"/>
        <v>0.44</v>
      </c>
      <c r="AB37" s="12">
        <f t="shared" si="1"/>
        <v>59.642068196889</v>
      </c>
      <c r="AC37" s="13">
        <f t="shared" si="27"/>
        <v>0.49</v>
      </c>
    </row>
    <row r="38" spans="1:29">
      <c r="A38" s="14">
        <v>45619</v>
      </c>
      <c r="B38" s="15">
        <v>326600</v>
      </c>
      <c r="C38" s="7">
        <f t="shared" si="15"/>
        <v>0.59</v>
      </c>
      <c r="D38" s="16">
        <v>152</v>
      </c>
      <c r="E38" s="7">
        <f t="shared" si="16"/>
        <v>0.27</v>
      </c>
      <c r="F38" s="17">
        <v>239</v>
      </c>
      <c r="G38" s="7">
        <f t="shared" si="17"/>
        <v>0.13</v>
      </c>
      <c r="H38" s="17">
        <v>108</v>
      </c>
      <c r="I38" s="18">
        <f t="shared" si="18"/>
        <v>0.23</v>
      </c>
      <c r="J38" s="19">
        <v>29.6</v>
      </c>
      <c r="K38" s="18">
        <f t="shared" si="19"/>
        <v>0.55</v>
      </c>
      <c r="L38" s="20">
        <v>3.54</v>
      </c>
      <c r="M38" s="7">
        <f t="shared" si="20"/>
        <v>0.09</v>
      </c>
      <c r="N38" s="19">
        <v>38.7</v>
      </c>
      <c r="O38" s="7">
        <f t="shared" si="21"/>
        <v>0.23</v>
      </c>
      <c r="P38" s="21">
        <v>21.1</v>
      </c>
      <c r="Q38" s="7">
        <f t="shared" si="22"/>
        <v>0.54</v>
      </c>
      <c r="R38" s="11">
        <v>102692.82</v>
      </c>
      <c r="S38" s="7">
        <f t="shared" si="23"/>
        <v>0.11</v>
      </c>
      <c r="T38" s="11">
        <v>2567.3205</v>
      </c>
      <c r="U38" s="7">
        <f t="shared" si="24"/>
        <v>0.11</v>
      </c>
      <c r="V38" s="11">
        <f t="shared" si="0"/>
        <v>7.60105721120522</v>
      </c>
      <c r="W38" s="7">
        <f t="shared" si="25"/>
        <v>0.27</v>
      </c>
      <c r="X38" s="11">
        <v>10</v>
      </c>
      <c r="Y38" s="7">
        <v>0</v>
      </c>
      <c r="Z38" s="11">
        <v>62.8033472803347</v>
      </c>
      <c r="AA38" s="7">
        <f t="shared" si="26"/>
        <v>0.6</v>
      </c>
      <c r="AB38" s="12">
        <f t="shared" si="1"/>
        <v>38.0052860560261</v>
      </c>
      <c r="AC38" s="13">
        <f t="shared" si="27"/>
        <v>0.27</v>
      </c>
    </row>
    <row r="39" spans="1:29">
      <c r="A39" s="14">
        <v>45620</v>
      </c>
      <c r="B39" s="15">
        <v>315600</v>
      </c>
      <c r="C39" s="7">
        <f t="shared" si="15"/>
        <v>0.54</v>
      </c>
      <c r="D39" s="16">
        <v>186</v>
      </c>
      <c r="E39" s="7">
        <f t="shared" si="16"/>
        <v>0.38</v>
      </c>
      <c r="F39" s="17">
        <v>382</v>
      </c>
      <c r="G39" s="7">
        <f t="shared" si="17"/>
        <v>0.38</v>
      </c>
      <c r="H39" s="17">
        <v>188</v>
      </c>
      <c r="I39" s="18">
        <f t="shared" si="18"/>
        <v>0.42</v>
      </c>
      <c r="J39" s="19">
        <v>37.3</v>
      </c>
      <c r="K39" s="18">
        <f t="shared" si="19"/>
        <v>0.9</v>
      </c>
      <c r="L39" s="20">
        <v>4.38</v>
      </c>
      <c r="M39" s="7">
        <f t="shared" si="20"/>
        <v>0.14</v>
      </c>
      <c r="N39" s="19">
        <v>45.9</v>
      </c>
      <c r="O39" s="7">
        <f t="shared" si="21"/>
        <v>0.37</v>
      </c>
      <c r="P39" s="21">
        <v>21</v>
      </c>
      <c r="Q39" s="7">
        <f t="shared" si="22"/>
        <v>0.53</v>
      </c>
      <c r="R39" s="11">
        <v>130581.16</v>
      </c>
      <c r="S39" s="7">
        <f t="shared" si="23"/>
        <v>0.24</v>
      </c>
      <c r="T39" s="11">
        <v>3264.529</v>
      </c>
      <c r="U39" s="7">
        <f t="shared" si="24"/>
        <v>0.24</v>
      </c>
      <c r="V39" s="11">
        <f t="shared" si="0"/>
        <v>9.23251102992193</v>
      </c>
      <c r="W39" s="7">
        <f t="shared" si="25"/>
        <v>0.35</v>
      </c>
      <c r="X39" s="11">
        <v>10</v>
      </c>
      <c r="Y39" s="7">
        <v>0</v>
      </c>
      <c r="Z39" s="11">
        <v>48.3769633507853</v>
      </c>
      <c r="AA39" s="7">
        <f t="shared" si="26"/>
        <v>0.42</v>
      </c>
      <c r="AB39" s="12">
        <f t="shared" si="1"/>
        <v>46.1625551496096</v>
      </c>
      <c r="AC39" s="13">
        <f t="shared" si="27"/>
        <v>0.35</v>
      </c>
    </row>
    <row r="40" spans="1:29">
      <c r="A40" s="14">
        <v>45621</v>
      </c>
      <c r="B40" s="15">
        <v>280100</v>
      </c>
      <c r="C40" s="7">
        <f t="shared" si="15"/>
        <v>0.38</v>
      </c>
      <c r="D40" s="16">
        <v>316</v>
      </c>
      <c r="E40" s="7">
        <f t="shared" si="16"/>
        <v>0.83</v>
      </c>
      <c r="F40" s="17">
        <v>640</v>
      </c>
      <c r="G40" s="7">
        <f t="shared" si="17"/>
        <v>0.83</v>
      </c>
      <c r="H40" s="17">
        <v>284</v>
      </c>
      <c r="I40" s="18">
        <f t="shared" si="18"/>
        <v>0.65</v>
      </c>
      <c r="J40" s="19">
        <v>37.4</v>
      </c>
      <c r="K40" s="18">
        <f t="shared" si="19"/>
        <v>0.91</v>
      </c>
      <c r="L40" s="20">
        <v>12.7</v>
      </c>
      <c r="M40" s="7">
        <f t="shared" si="20"/>
        <v>0.61</v>
      </c>
      <c r="N40" s="19">
        <v>50.5</v>
      </c>
      <c r="O40" s="7">
        <f t="shared" si="21"/>
        <v>0.46</v>
      </c>
      <c r="P40" s="21">
        <v>20.9</v>
      </c>
      <c r="Q40" s="7">
        <f t="shared" si="22"/>
        <v>0.53</v>
      </c>
      <c r="R40" s="11">
        <v>137985.84</v>
      </c>
      <c r="S40" s="7">
        <f t="shared" si="23"/>
        <v>0.27</v>
      </c>
      <c r="T40" s="11">
        <v>3449.646</v>
      </c>
      <c r="U40" s="7">
        <f t="shared" si="24"/>
        <v>0.27</v>
      </c>
      <c r="V40" s="11">
        <f t="shared" si="0"/>
        <v>12.9914779661449</v>
      </c>
      <c r="W40" s="7">
        <f t="shared" si="25"/>
        <v>0.54</v>
      </c>
      <c r="X40" s="11">
        <v>10</v>
      </c>
      <c r="Y40" s="7">
        <v>0</v>
      </c>
      <c r="Z40" s="11">
        <v>49.1875</v>
      </c>
      <c r="AA40" s="7">
        <f t="shared" si="26"/>
        <v>0.43</v>
      </c>
      <c r="AB40" s="12">
        <f t="shared" si="1"/>
        <v>64.9573898307247</v>
      </c>
      <c r="AC40" s="13">
        <f t="shared" si="27"/>
        <v>0.54</v>
      </c>
    </row>
    <row r="41" spans="1:29">
      <c r="A41" s="14">
        <v>45622</v>
      </c>
      <c r="B41" s="15">
        <v>263300</v>
      </c>
      <c r="C41" s="7">
        <f t="shared" si="15"/>
        <v>0.31</v>
      </c>
      <c r="D41" s="16">
        <v>292</v>
      </c>
      <c r="E41" s="7">
        <f t="shared" si="16"/>
        <v>0.74</v>
      </c>
      <c r="F41" s="17">
        <v>372</v>
      </c>
      <c r="G41" s="7">
        <f t="shared" si="17"/>
        <v>0.36</v>
      </c>
      <c r="H41" s="17">
        <v>168</v>
      </c>
      <c r="I41" s="18">
        <f t="shared" si="18"/>
        <v>0.38</v>
      </c>
      <c r="J41" s="19">
        <v>36.2</v>
      </c>
      <c r="K41" s="18">
        <f t="shared" si="19"/>
        <v>0.85</v>
      </c>
      <c r="L41" s="20">
        <v>6.3</v>
      </c>
      <c r="M41" s="7">
        <f t="shared" si="20"/>
        <v>0.25</v>
      </c>
      <c r="N41" s="19">
        <v>45.8</v>
      </c>
      <c r="O41" s="7">
        <f t="shared" si="21"/>
        <v>0.37</v>
      </c>
      <c r="P41" s="21">
        <v>20.9</v>
      </c>
      <c r="Q41" s="7">
        <f t="shared" si="22"/>
        <v>0.53</v>
      </c>
      <c r="R41" s="11">
        <v>159281.64</v>
      </c>
      <c r="S41" s="7">
        <f t="shared" si="23"/>
        <v>0.37</v>
      </c>
      <c r="T41" s="11">
        <v>3982.041</v>
      </c>
      <c r="U41" s="7">
        <f t="shared" si="24"/>
        <v>0.37</v>
      </c>
      <c r="V41" s="11">
        <f t="shared" si="0"/>
        <v>6.14933397220169</v>
      </c>
      <c r="W41" s="7">
        <f t="shared" si="25"/>
        <v>0.2</v>
      </c>
      <c r="X41" s="11">
        <v>10</v>
      </c>
      <c r="Y41" s="7">
        <v>0</v>
      </c>
      <c r="Z41" s="11">
        <v>78.1182795698925</v>
      </c>
      <c r="AA41" s="7">
        <f t="shared" si="26"/>
        <v>0.79</v>
      </c>
      <c r="AB41" s="12">
        <f t="shared" si="1"/>
        <v>30.7466698610085</v>
      </c>
      <c r="AC41" s="13">
        <f t="shared" si="27"/>
        <v>0.2</v>
      </c>
    </row>
    <row r="42" spans="1:29">
      <c r="A42" s="14">
        <v>45623</v>
      </c>
      <c r="B42" s="15">
        <v>257000</v>
      </c>
      <c r="C42" s="7">
        <f t="shared" si="15"/>
        <v>0.28</v>
      </c>
      <c r="D42" s="16">
        <v>144</v>
      </c>
      <c r="E42" s="7">
        <f t="shared" si="16"/>
        <v>0.24</v>
      </c>
      <c r="F42" s="17">
        <v>297</v>
      </c>
      <c r="G42" s="7">
        <f t="shared" si="17"/>
        <v>0.23</v>
      </c>
      <c r="H42" s="17">
        <v>172</v>
      </c>
      <c r="I42" s="18">
        <f t="shared" si="18"/>
        <v>0.38</v>
      </c>
      <c r="J42" s="19">
        <v>39.4</v>
      </c>
      <c r="K42" s="18">
        <f t="shared" si="19"/>
        <v>1</v>
      </c>
      <c r="L42" s="20">
        <v>4.64</v>
      </c>
      <c r="M42" s="7">
        <f t="shared" si="20"/>
        <v>0.15</v>
      </c>
      <c r="N42" s="19">
        <v>48</v>
      </c>
      <c r="O42" s="7">
        <f t="shared" si="21"/>
        <v>0.41</v>
      </c>
      <c r="P42" s="21">
        <v>20.9</v>
      </c>
      <c r="Q42" s="7">
        <f t="shared" si="22"/>
        <v>0.53</v>
      </c>
      <c r="R42" s="11">
        <v>131378.16</v>
      </c>
      <c r="S42" s="7">
        <f t="shared" si="23"/>
        <v>0.24</v>
      </c>
      <c r="T42" s="11">
        <v>3284.454</v>
      </c>
      <c r="U42" s="7">
        <f t="shared" si="24"/>
        <v>0.24</v>
      </c>
      <c r="V42" s="11">
        <f t="shared" si="0"/>
        <v>5.80986976830852</v>
      </c>
      <c r="W42" s="7">
        <f t="shared" si="25"/>
        <v>0.18</v>
      </c>
      <c r="X42" s="11">
        <v>10</v>
      </c>
      <c r="Y42" s="7">
        <v>0</v>
      </c>
      <c r="Z42" s="11">
        <v>48.0808080808081</v>
      </c>
      <c r="AA42" s="7">
        <f t="shared" si="26"/>
        <v>0.42</v>
      </c>
      <c r="AB42" s="12">
        <f t="shared" si="1"/>
        <v>29.0493488415426</v>
      </c>
      <c r="AC42" s="13">
        <f t="shared" si="27"/>
        <v>0.18</v>
      </c>
    </row>
    <row r="43" spans="1:29">
      <c r="A43" s="14">
        <v>45624</v>
      </c>
      <c r="B43" s="15">
        <v>290400</v>
      </c>
      <c r="C43" s="7">
        <f t="shared" si="15"/>
        <v>0.43</v>
      </c>
      <c r="D43" s="16">
        <v>302</v>
      </c>
      <c r="E43" s="7">
        <f t="shared" si="16"/>
        <v>0.78</v>
      </c>
      <c r="F43" s="17">
        <v>509</v>
      </c>
      <c r="G43" s="7">
        <f t="shared" si="17"/>
        <v>0.6</v>
      </c>
      <c r="H43" s="17">
        <v>328</v>
      </c>
      <c r="I43" s="18">
        <f t="shared" si="18"/>
        <v>0.76</v>
      </c>
      <c r="J43" s="19">
        <v>35.3</v>
      </c>
      <c r="K43" s="18">
        <f t="shared" si="19"/>
        <v>0.81</v>
      </c>
      <c r="L43" s="20">
        <v>6.52</v>
      </c>
      <c r="M43" s="7">
        <f t="shared" si="20"/>
        <v>0.26</v>
      </c>
      <c r="N43" s="19">
        <v>46.9</v>
      </c>
      <c r="O43" s="7">
        <f t="shared" si="21"/>
        <v>0.39</v>
      </c>
      <c r="P43" s="21">
        <v>20.8</v>
      </c>
      <c r="Q43" s="7">
        <f t="shared" si="22"/>
        <v>0.52</v>
      </c>
      <c r="R43" s="11">
        <v>153389.88</v>
      </c>
      <c r="S43" s="7">
        <f t="shared" si="23"/>
        <v>0.35</v>
      </c>
      <c r="T43" s="11">
        <v>3834.747</v>
      </c>
      <c r="U43" s="7">
        <f t="shared" si="24"/>
        <v>0.35</v>
      </c>
      <c r="V43" s="11">
        <f t="shared" si="0"/>
        <v>9.63646363110787</v>
      </c>
      <c r="W43" s="7">
        <f t="shared" si="25"/>
        <v>0.37</v>
      </c>
      <c r="X43" s="11">
        <v>10</v>
      </c>
      <c r="Y43" s="7">
        <v>0</v>
      </c>
      <c r="Z43" s="11">
        <v>59.0962671905697</v>
      </c>
      <c r="AA43" s="7">
        <f t="shared" si="26"/>
        <v>0.56</v>
      </c>
      <c r="AB43" s="12">
        <f t="shared" si="1"/>
        <v>48.1823181555393</v>
      </c>
      <c r="AC43" s="13">
        <f t="shared" si="27"/>
        <v>0.37</v>
      </c>
    </row>
    <row r="44" spans="1:29">
      <c r="A44" s="14">
        <v>45625</v>
      </c>
      <c r="B44" s="15">
        <v>287600</v>
      </c>
      <c r="C44" s="7">
        <f t="shared" si="15"/>
        <v>0.42</v>
      </c>
      <c r="D44" s="16">
        <v>242</v>
      </c>
      <c r="E44" s="7">
        <f t="shared" si="16"/>
        <v>0.57</v>
      </c>
      <c r="F44" s="17">
        <v>488</v>
      </c>
      <c r="G44" s="7">
        <f t="shared" si="17"/>
        <v>0.56</v>
      </c>
      <c r="H44" s="17">
        <v>308</v>
      </c>
      <c r="I44" s="18">
        <f t="shared" si="18"/>
        <v>0.71</v>
      </c>
      <c r="J44" s="19">
        <v>37.9</v>
      </c>
      <c r="K44" s="18">
        <f t="shared" si="19"/>
        <v>0.93</v>
      </c>
      <c r="L44" s="20">
        <v>4.24</v>
      </c>
      <c r="M44" s="7">
        <f t="shared" si="20"/>
        <v>0.13</v>
      </c>
      <c r="N44" s="19">
        <v>43.3</v>
      </c>
      <c r="O44" s="7">
        <f t="shared" si="21"/>
        <v>0.32</v>
      </c>
      <c r="P44" s="21">
        <v>20.5</v>
      </c>
      <c r="Q44" s="7">
        <f t="shared" si="22"/>
        <v>0.49</v>
      </c>
      <c r="R44" s="11">
        <v>157139.5</v>
      </c>
      <c r="S44" s="7">
        <f t="shared" si="23"/>
        <v>0.36</v>
      </c>
      <c r="T44" s="11">
        <v>3928.4875</v>
      </c>
      <c r="U44" s="7">
        <f t="shared" si="24"/>
        <v>0.36</v>
      </c>
      <c r="V44" s="11">
        <f t="shared" si="0"/>
        <v>8.9314780815772</v>
      </c>
      <c r="W44" s="7">
        <f t="shared" si="25"/>
        <v>0.34</v>
      </c>
      <c r="X44" s="11">
        <v>10</v>
      </c>
      <c r="Y44" s="7">
        <v>0</v>
      </c>
      <c r="Z44" s="11">
        <v>49.3237704918033</v>
      </c>
      <c r="AA44" s="7">
        <f t="shared" si="26"/>
        <v>0.43</v>
      </c>
      <c r="AB44" s="12">
        <f t="shared" si="1"/>
        <v>44.657390407886</v>
      </c>
      <c r="AC44" s="13">
        <f t="shared" si="27"/>
        <v>0.34</v>
      </c>
    </row>
    <row r="45" spans="1:29">
      <c r="A45" s="14">
        <v>45626</v>
      </c>
      <c r="B45" s="15">
        <v>283700</v>
      </c>
      <c r="C45" s="7">
        <f t="shared" si="15"/>
        <v>0.4</v>
      </c>
      <c r="D45" s="16">
        <v>194</v>
      </c>
      <c r="E45" s="7">
        <f t="shared" si="16"/>
        <v>0.41</v>
      </c>
      <c r="F45" s="17">
        <v>277</v>
      </c>
      <c r="G45" s="7">
        <f t="shared" si="17"/>
        <v>0.19</v>
      </c>
      <c r="H45" s="17">
        <v>128</v>
      </c>
      <c r="I45" s="18">
        <f t="shared" si="18"/>
        <v>0.28</v>
      </c>
      <c r="J45" s="19">
        <v>30.7</v>
      </c>
      <c r="K45" s="18">
        <f t="shared" si="19"/>
        <v>0.6</v>
      </c>
      <c r="L45" s="20">
        <v>1.96</v>
      </c>
      <c r="M45" s="7">
        <f t="shared" si="20"/>
        <v>0</v>
      </c>
      <c r="N45" s="19">
        <v>36.2</v>
      </c>
      <c r="O45" s="7">
        <f t="shared" si="21"/>
        <v>0.18</v>
      </c>
      <c r="P45" s="21">
        <v>20.2</v>
      </c>
      <c r="Q45" s="7">
        <f t="shared" si="22"/>
        <v>0.47</v>
      </c>
      <c r="R45" s="11">
        <v>152862.01</v>
      </c>
      <c r="S45" s="7">
        <f t="shared" si="23"/>
        <v>0.34</v>
      </c>
      <c r="T45" s="11">
        <v>3821.55025</v>
      </c>
      <c r="U45" s="7">
        <f t="shared" si="24"/>
        <v>0.34</v>
      </c>
      <c r="V45" s="11">
        <f t="shared" si="0"/>
        <v>5.14090453213326</v>
      </c>
      <c r="W45" s="7">
        <f t="shared" si="25"/>
        <v>0.14</v>
      </c>
      <c r="X45" s="11">
        <v>10</v>
      </c>
      <c r="Y45" s="7">
        <v>0</v>
      </c>
      <c r="Z45" s="11">
        <v>69.3862815884476</v>
      </c>
      <c r="AA45" s="7">
        <f t="shared" si="26"/>
        <v>0.69</v>
      </c>
      <c r="AB45" s="12">
        <f t="shared" si="1"/>
        <v>25.7045226606663</v>
      </c>
      <c r="AC45" s="13">
        <f t="shared" si="27"/>
        <v>0.14</v>
      </c>
    </row>
    <row r="46" spans="1:29">
      <c r="A46" s="14">
        <v>45627</v>
      </c>
      <c r="B46" s="15">
        <v>258400</v>
      </c>
      <c r="C46" s="7">
        <f t="shared" si="15"/>
        <v>0.29</v>
      </c>
      <c r="D46" s="16">
        <v>268</v>
      </c>
      <c r="E46" s="7">
        <f t="shared" si="16"/>
        <v>0.66</v>
      </c>
      <c r="F46" s="17">
        <v>532</v>
      </c>
      <c r="G46" s="7">
        <f t="shared" si="17"/>
        <v>0.64</v>
      </c>
      <c r="H46" s="17">
        <v>240</v>
      </c>
      <c r="I46" s="18">
        <f t="shared" si="18"/>
        <v>0.55</v>
      </c>
      <c r="J46" s="19">
        <v>37.6</v>
      </c>
      <c r="K46" s="18">
        <f t="shared" si="19"/>
        <v>0.92</v>
      </c>
      <c r="L46" s="20">
        <v>8.77</v>
      </c>
      <c r="M46" s="7">
        <f t="shared" si="20"/>
        <v>0.39</v>
      </c>
      <c r="N46" s="19">
        <v>47.8</v>
      </c>
      <c r="O46" s="7">
        <f t="shared" si="21"/>
        <v>0.4</v>
      </c>
      <c r="P46" s="21">
        <v>20</v>
      </c>
      <c r="Q46" s="7">
        <f t="shared" si="22"/>
        <v>0.45</v>
      </c>
      <c r="R46" s="11">
        <v>145912.12</v>
      </c>
      <c r="S46" s="7">
        <f t="shared" si="23"/>
        <v>0.31</v>
      </c>
      <c r="T46" s="11">
        <v>3647.803</v>
      </c>
      <c r="U46" s="7">
        <f t="shared" si="24"/>
        <v>0.31</v>
      </c>
      <c r="V46" s="11">
        <f t="shared" si="0"/>
        <v>9.42134210646792</v>
      </c>
      <c r="W46" s="7">
        <f t="shared" si="25"/>
        <v>0.36</v>
      </c>
      <c r="X46" s="11">
        <v>10</v>
      </c>
      <c r="Y46" s="7">
        <v>0</v>
      </c>
      <c r="Z46" s="11">
        <v>50.1315789473684</v>
      </c>
      <c r="AA46" s="7">
        <f t="shared" si="26"/>
        <v>0.44</v>
      </c>
      <c r="AB46" s="12">
        <f t="shared" si="1"/>
        <v>47.1067105323396</v>
      </c>
      <c r="AC46" s="13">
        <f t="shared" si="27"/>
        <v>0.36</v>
      </c>
    </row>
    <row r="47" spans="1:29">
      <c r="A47" s="14">
        <v>45628</v>
      </c>
      <c r="B47" s="15">
        <v>260600</v>
      </c>
      <c r="C47" s="7">
        <f t="shared" si="15"/>
        <v>0.3</v>
      </c>
      <c r="D47" s="16">
        <v>153</v>
      </c>
      <c r="E47" s="7">
        <f t="shared" si="16"/>
        <v>0.27</v>
      </c>
      <c r="F47" s="17">
        <v>352</v>
      </c>
      <c r="G47" s="7">
        <f t="shared" si="17"/>
        <v>0.33</v>
      </c>
      <c r="H47" s="17">
        <v>188</v>
      </c>
      <c r="I47" s="18">
        <f t="shared" si="18"/>
        <v>0.42</v>
      </c>
      <c r="J47" s="19">
        <v>32.2</v>
      </c>
      <c r="K47" s="18">
        <f t="shared" si="19"/>
        <v>0.67</v>
      </c>
      <c r="L47" s="20">
        <v>3.5</v>
      </c>
      <c r="M47" s="7">
        <f t="shared" si="20"/>
        <v>0.09</v>
      </c>
      <c r="N47" s="19">
        <v>54.5</v>
      </c>
      <c r="O47" s="7">
        <f t="shared" si="21"/>
        <v>0.53</v>
      </c>
      <c r="P47" s="21">
        <v>19.8</v>
      </c>
      <c r="Q47" s="7">
        <f t="shared" si="22"/>
        <v>0.43</v>
      </c>
      <c r="R47" s="11">
        <v>166936.14</v>
      </c>
      <c r="S47" s="7">
        <f t="shared" si="23"/>
        <v>0.41</v>
      </c>
      <c r="T47" s="11">
        <v>4173.4035</v>
      </c>
      <c r="U47" s="7">
        <f t="shared" si="24"/>
        <v>0.41</v>
      </c>
      <c r="V47" s="11">
        <f t="shared" si="0"/>
        <v>5.49498748443566</v>
      </c>
      <c r="W47" s="7">
        <f t="shared" si="25"/>
        <v>0.16</v>
      </c>
      <c r="X47" s="11">
        <v>10</v>
      </c>
      <c r="Y47" s="7">
        <v>0</v>
      </c>
      <c r="Z47" s="11">
        <v>43.1818181818182</v>
      </c>
      <c r="AA47" s="7">
        <f t="shared" si="26"/>
        <v>0.36</v>
      </c>
      <c r="AB47" s="12">
        <f t="shared" si="1"/>
        <v>27.4749374221783</v>
      </c>
      <c r="AC47" s="13">
        <f t="shared" si="27"/>
        <v>0.16</v>
      </c>
    </row>
    <row r="48" spans="1:29">
      <c r="A48" s="14">
        <v>45629</v>
      </c>
      <c r="B48" s="15">
        <v>246500</v>
      </c>
      <c r="C48" s="7">
        <f t="shared" si="15"/>
        <v>0.23</v>
      </c>
      <c r="D48" s="16">
        <v>234</v>
      </c>
      <c r="E48" s="7">
        <f t="shared" si="16"/>
        <v>0.55</v>
      </c>
      <c r="F48" s="17">
        <v>422</v>
      </c>
      <c r="G48" s="7">
        <f t="shared" si="17"/>
        <v>0.45</v>
      </c>
      <c r="H48" s="17">
        <v>248</v>
      </c>
      <c r="I48" s="18">
        <f t="shared" si="18"/>
        <v>0.57</v>
      </c>
      <c r="J48" s="19">
        <v>34</v>
      </c>
      <c r="K48" s="18">
        <f t="shared" si="19"/>
        <v>0.75</v>
      </c>
      <c r="L48" s="20">
        <v>9.43</v>
      </c>
      <c r="M48" s="7">
        <f t="shared" si="20"/>
        <v>0.42</v>
      </c>
      <c r="N48" s="19">
        <v>44.6</v>
      </c>
      <c r="O48" s="7">
        <f t="shared" si="21"/>
        <v>0.34</v>
      </c>
      <c r="P48" s="21">
        <v>19.8</v>
      </c>
      <c r="Q48" s="7">
        <f t="shared" si="22"/>
        <v>0.43</v>
      </c>
      <c r="R48" s="11">
        <v>148184.64</v>
      </c>
      <c r="S48" s="7">
        <f t="shared" si="23"/>
        <v>0.32</v>
      </c>
      <c r="T48" s="11">
        <v>3704.616</v>
      </c>
      <c r="U48" s="7">
        <f t="shared" si="24"/>
        <v>0.32</v>
      </c>
      <c r="V48" s="11">
        <f t="shared" si="0"/>
        <v>7.01982337710575</v>
      </c>
      <c r="W48" s="7">
        <f t="shared" si="25"/>
        <v>0.24</v>
      </c>
      <c r="X48" s="11">
        <v>10</v>
      </c>
      <c r="Y48" s="7">
        <v>0</v>
      </c>
      <c r="Z48" s="11">
        <v>55.2369668246446</v>
      </c>
      <c r="AA48" s="7">
        <f t="shared" si="26"/>
        <v>0.51</v>
      </c>
      <c r="AB48" s="12">
        <f t="shared" si="1"/>
        <v>35.0991168855288</v>
      </c>
      <c r="AC48" s="13">
        <f t="shared" si="27"/>
        <v>0.24</v>
      </c>
    </row>
    <row r="49" spans="1:29">
      <c r="A49" s="14">
        <v>45630</v>
      </c>
      <c r="B49" s="15">
        <v>254500</v>
      </c>
      <c r="C49" s="7">
        <f t="shared" si="15"/>
        <v>0.27</v>
      </c>
      <c r="D49" s="16">
        <v>226</v>
      </c>
      <c r="E49" s="7">
        <f t="shared" si="16"/>
        <v>0.52</v>
      </c>
      <c r="F49" s="17">
        <v>277</v>
      </c>
      <c r="G49" s="7">
        <f t="shared" si="17"/>
        <v>0.19</v>
      </c>
      <c r="H49" s="17">
        <v>220</v>
      </c>
      <c r="I49" s="18">
        <f t="shared" si="18"/>
        <v>0.5</v>
      </c>
      <c r="J49" s="19">
        <v>33.8</v>
      </c>
      <c r="K49" s="18">
        <f t="shared" si="19"/>
        <v>0.74</v>
      </c>
      <c r="L49" s="20">
        <v>12.8</v>
      </c>
      <c r="M49" s="7">
        <f t="shared" si="20"/>
        <v>0.61</v>
      </c>
      <c r="N49" s="19">
        <v>44.7</v>
      </c>
      <c r="O49" s="7">
        <f t="shared" si="21"/>
        <v>0.34</v>
      </c>
      <c r="P49" s="21">
        <v>19.7</v>
      </c>
      <c r="Q49" s="7">
        <f t="shared" si="22"/>
        <v>0.42</v>
      </c>
      <c r="R49" s="11">
        <v>174257.06</v>
      </c>
      <c r="S49" s="7">
        <f t="shared" si="23"/>
        <v>0.45</v>
      </c>
      <c r="T49" s="11">
        <v>4356.4265</v>
      </c>
      <c r="U49" s="7">
        <f t="shared" si="24"/>
        <v>0.45</v>
      </c>
      <c r="V49" s="11">
        <f t="shared" si="0"/>
        <v>4.04554627514088</v>
      </c>
      <c r="W49" s="7">
        <f t="shared" si="25"/>
        <v>0.09</v>
      </c>
      <c r="X49" s="11">
        <v>10</v>
      </c>
      <c r="Y49" s="7">
        <v>0</v>
      </c>
      <c r="Z49" s="11">
        <v>80.8664259927798</v>
      </c>
      <c r="AA49" s="7">
        <f t="shared" si="26"/>
        <v>0.83</v>
      </c>
      <c r="AB49" s="12">
        <f t="shared" si="1"/>
        <v>20.2277313757044</v>
      </c>
      <c r="AC49" s="13">
        <f t="shared" si="27"/>
        <v>0.09</v>
      </c>
    </row>
    <row r="50" spans="1:29">
      <c r="A50" s="14">
        <v>45631</v>
      </c>
      <c r="B50" s="15">
        <v>226400</v>
      </c>
      <c r="C50" s="7">
        <f t="shared" si="15"/>
        <v>0.14</v>
      </c>
      <c r="D50" s="16">
        <v>138</v>
      </c>
      <c r="E50" s="7">
        <f t="shared" si="16"/>
        <v>0.22</v>
      </c>
      <c r="F50" s="17">
        <v>177</v>
      </c>
      <c r="G50" s="7">
        <f t="shared" si="17"/>
        <v>0.02</v>
      </c>
      <c r="H50" s="17">
        <v>104</v>
      </c>
      <c r="I50" s="18">
        <f t="shared" si="18"/>
        <v>0.22</v>
      </c>
      <c r="J50" s="19">
        <v>30.7</v>
      </c>
      <c r="K50" s="18">
        <f t="shared" si="19"/>
        <v>0.6</v>
      </c>
      <c r="L50" s="20">
        <v>3.64</v>
      </c>
      <c r="M50" s="7">
        <f t="shared" si="20"/>
        <v>0.1</v>
      </c>
      <c r="N50" s="19">
        <v>34.8</v>
      </c>
      <c r="O50" s="7">
        <f t="shared" si="21"/>
        <v>0.15</v>
      </c>
      <c r="P50" s="21">
        <v>19.7</v>
      </c>
      <c r="Q50" s="7">
        <f t="shared" si="22"/>
        <v>0.42</v>
      </c>
      <c r="R50" s="11">
        <v>149393.08</v>
      </c>
      <c r="S50" s="7">
        <f t="shared" si="23"/>
        <v>0.33</v>
      </c>
      <c r="T50" s="11">
        <v>3734.827</v>
      </c>
      <c r="U50" s="7">
        <f t="shared" si="24"/>
        <v>0.33</v>
      </c>
      <c r="V50" s="11">
        <f t="shared" si="0"/>
        <v>2.68237323977791</v>
      </c>
      <c r="W50" s="7">
        <f t="shared" si="25"/>
        <v>0.02</v>
      </c>
      <c r="X50" s="11">
        <v>10</v>
      </c>
      <c r="Y50" s="7">
        <v>0</v>
      </c>
      <c r="Z50" s="11">
        <v>75.3672316384181</v>
      </c>
      <c r="AA50" s="7">
        <f t="shared" si="26"/>
        <v>0.76</v>
      </c>
      <c r="AB50" s="12">
        <f t="shared" si="1"/>
        <v>13.4118661988895</v>
      </c>
      <c r="AC50" s="13">
        <f t="shared" si="27"/>
        <v>0.02</v>
      </c>
    </row>
    <row r="51" spans="1:29">
      <c r="A51" s="14">
        <v>45632</v>
      </c>
      <c r="B51" s="15">
        <v>225700</v>
      </c>
      <c r="C51" s="7">
        <f t="shared" si="15"/>
        <v>0.14</v>
      </c>
      <c r="D51" s="16">
        <v>157</v>
      </c>
      <c r="E51" s="7">
        <f t="shared" si="16"/>
        <v>0.28</v>
      </c>
      <c r="F51" s="17">
        <v>165</v>
      </c>
      <c r="G51" s="7">
        <f t="shared" si="17"/>
        <v>0</v>
      </c>
      <c r="H51" s="17">
        <v>92</v>
      </c>
      <c r="I51" s="18">
        <f t="shared" si="18"/>
        <v>0.19</v>
      </c>
      <c r="J51" s="19">
        <v>37.3</v>
      </c>
      <c r="K51" s="18">
        <f t="shared" si="19"/>
        <v>0.9</v>
      </c>
      <c r="L51" s="20">
        <v>5.26</v>
      </c>
      <c r="M51" s="7">
        <f t="shared" si="20"/>
        <v>0.19</v>
      </c>
      <c r="N51" s="19">
        <v>47.6</v>
      </c>
      <c r="O51" s="7">
        <f t="shared" si="21"/>
        <v>0.4</v>
      </c>
      <c r="P51" s="21">
        <v>19.7</v>
      </c>
      <c r="Q51" s="7">
        <f t="shared" si="22"/>
        <v>0.42</v>
      </c>
      <c r="R51" s="11">
        <v>161778.52</v>
      </c>
      <c r="S51" s="7">
        <f t="shared" si="23"/>
        <v>0.39</v>
      </c>
      <c r="T51" s="11">
        <v>4044.463</v>
      </c>
      <c r="U51" s="7">
        <f t="shared" si="24"/>
        <v>0.39</v>
      </c>
      <c r="V51" s="11">
        <f t="shared" si="0"/>
        <v>2.30194342240243</v>
      </c>
      <c r="W51" s="7">
        <f t="shared" si="25"/>
        <v>0</v>
      </c>
      <c r="X51" s="11">
        <v>10</v>
      </c>
      <c r="Y51" s="7">
        <v>0</v>
      </c>
      <c r="Z51" s="11">
        <v>94.4242424242424</v>
      </c>
      <c r="AA51" s="7">
        <f t="shared" si="26"/>
        <v>1</v>
      </c>
      <c r="AB51" s="12">
        <f t="shared" si="1"/>
        <v>11.5097171120121</v>
      </c>
      <c r="AC51" s="13">
        <f t="shared" si="27"/>
        <v>0</v>
      </c>
    </row>
    <row r="52" spans="1:29">
      <c r="A52" s="14">
        <v>45633</v>
      </c>
      <c r="B52" s="15">
        <v>236100</v>
      </c>
      <c r="C52" s="7">
        <f t="shared" si="15"/>
        <v>0.19</v>
      </c>
      <c r="D52" s="16">
        <v>147</v>
      </c>
      <c r="E52" s="7">
        <f t="shared" si="16"/>
        <v>0.25</v>
      </c>
      <c r="F52" s="17">
        <v>249</v>
      </c>
      <c r="G52" s="7">
        <f t="shared" si="17"/>
        <v>0.15</v>
      </c>
      <c r="H52" s="17">
        <v>112</v>
      </c>
      <c r="I52" s="18">
        <f t="shared" si="18"/>
        <v>0.24</v>
      </c>
      <c r="J52" s="19">
        <v>27.6</v>
      </c>
      <c r="K52" s="18">
        <f t="shared" si="19"/>
        <v>0.46</v>
      </c>
      <c r="L52" s="20">
        <v>2.45</v>
      </c>
      <c r="M52" s="7">
        <f t="shared" si="20"/>
        <v>0.03</v>
      </c>
      <c r="N52" s="19">
        <v>33.9</v>
      </c>
      <c r="O52" s="7">
        <f t="shared" si="21"/>
        <v>0.14</v>
      </c>
      <c r="P52" s="21">
        <v>19.6</v>
      </c>
      <c r="Q52" s="7">
        <f t="shared" si="22"/>
        <v>0.42</v>
      </c>
      <c r="R52" s="11">
        <v>174128.52</v>
      </c>
      <c r="S52" s="7">
        <f t="shared" si="23"/>
        <v>0.44</v>
      </c>
      <c r="T52" s="11">
        <v>4353.213</v>
      </c>
      <c r="U52" s="7">
        <f t="shared" si="24"/>
        <v>0.44</v>
      </c>
      <c r="V52" s="11">
        <f t="shared" si="0"/>
        <v>3.37617869835453</v>
      </c>
      <c r="W52" s="7">
        <f t="shared" si="25"/>
        <v>0.05</v>
      </c>
      <c r="X52" s="11">
        <v>10</v>
      </c>
      <c r="Y52" s="7">
        <v>0</v>
      </c>
      <c r="Z52" s="11">
        <v>58.3132530120482</v>
      </c>
      <c r="AA52" s="7">
        <f t="shared" si="26"/>
        <v>0.55</v>
      </c>
      <c r="AB52" s="12">
        <f t="shared" si="1"/>
        <v>16.8808934917726</v>
      </c>
      <c r="AC52" s="13">
        <f t="shared" si="27"/>
        <v>0.05</v>
      </c>
    </row>
    <row r="53" spans="1:29">
      <c r="A53" s="14">
        <v>45634</v>
      </c>
      <c r="B53" s="15">
        <v>236900</v>
      </c>
      <c r="C53" s="7">
        <f t="shared" si="15"/>
        <v>0.19</v>
      </c>
      <c r="D53" s="16">
        <v>140</v>
      </c>
      <c r="E53" s="7">
        <f t="shared" si="16"/>
        <v>0.23</v>
      </c>
      <c r="F53" s="17">
        <v>277</v>
      </c>
      <c r="G53" s="7">
        <f t="shared" si="17"/>
        <v>0.19</v>
      </c>
      <c r="H53" s="17">
        <v>192</v>
      </c>
      <c r="I53" s="18">
        <f t="shared" si="18"/>
        <v>0.43</v>
      </c>
      <c r="J53" s="19">
        <v>26.8</v>
      </c>
      <c r="K53" s="18">
        <f t="shared" si="19"/>
        <v>0.42</v>
      </c>
      <c r="L53" s="20">
        <v>2.62</v>
      </c>
      <c r="M53" s="7">
        <f t="shared" si="20"/>
        <v>0.04</v>
      </c>
      <c r="N53" s="19">
        <v>31.6</v>
      </c>
      <c r="O53" s="7">
        <f t="shared" si="21"/>
        <v>0.09</v>
      </c>
      <c r="P53" s="21">
        <v>19.5</v>
      </c>
      <c r="Q53" s="7">
        <f t="shared" si="22"/>
        <v>0.41</v>
      </c>
      <c r="R53" s="11">
        <v>150513.68</v>
      </c>
      <c r="S53" s="7">
        <f t="shared" si="23"/>
        <v>0.33</v>
      </c>
      <c r="T53" s="11">
        <v>3762.842</v>
      </c>
      <c r="U53" s="7">
        <f t="shared" si="24"/>
        <v>0.33</v>
      </c>
      <c r="V53" s="11">
        <f t="shared" si="0"/>
        <v>4.35982297423065</v>
      </c>
      <c r="W53" s="7">
        <f t="shared" si="25"/>
        <v>0.1</v>
      </c>
      <c r="X53" s="11">
        <v>10</v>
      </c>
      <c r="Y53" s="7">
        <v>0</v>
      </c>
      <c r="Z53" s="11">
        <v>50.072202166065</v>
      </c>
      <c r="AA53" s="7">
        <f t="shared" si="26"/>
        <v>0.44</v>
      </c>
      <c r="AB53" s="12">
        <f t="shared" si="1"/>
        <v>21.7991148711532</v>
      </c>
      <c r="AC53" s="13">
        <f t="shared" si="27"/>
        <v>0.1</v>
      </c>
    </row>
    <row r="54" spans="1:29">
      <c r="A54" s="14">
        <v>45637</v>
      </c>
      <c r="B54" s="15">
        <v>243100</v>
      </c>
      <c r="C54" s="7">
        <f t="shared" si="15"/>
        <v>0.22</v>
      </c>
      <c r="D54" s="16">
        <v>140</v>
      </c>
      <c r="E54" s="7">
        <f t="shared" si="16"/>
        <v>0.23</v>
      </c>
      <c r="F54" s="17">
        <v>284</v>
      </c>
      <c r="G54" s="7">
        <f t="shared" si="17"/>
        <v>0.21</v>
      </c>
      <c r="H54" s="17">
        <v>140</v>
      </c>
      <c r="I54" s="18">
        <f t="shared" si="18"/>
        <v>0.31</v>
      </c>
      <c r="J54" s="19">
        <v>21.6</v>
      </c>
      <c r="K54" s="18">
        <f t="shared" si="19"/>
        <v>0.18</v>
      </c>
      <c r="L54" s="20">
        <v>3.96</v>
      </c>
      <c r="M54" s="7">
        <f t="shared" si="20"/>
        <v>0.11</v>
      </c>
      <c r="N54" s="19">
        <v>32</v>
      </c>
      <c r="O54" s="7">
        <f t="shared" si="21"/>
        <v>0.1</v>
      </c>
      <c r="P54" s="21">
        <v>19</v>
      </c>
      <c r="Q54" s="7">
        <f t="shared" si="22"/>
        <v>0.36</v>
      </c>
      <c r="R54" s="11">
        <v>119037.2</v>
      </c>
      <c r="S54" s="7">
        <f t="shared" si="23"/>
        <v>0.18</v>
      </c>
      <c r="T54" s="11">
        <v>2975.93</v>
      </c>
      <c r="U54" s="7">
        <f t="shared" si="24"/>
        <v>0.18</v>
      </c>
      <c r="V54" s="11">
        <f t="shared" si="0"/>
        <v>5.79990120735367</v>
      </c>
      <c r="W54" s="7">
        <f t="shared" si="25"/>
        <v>0.18</v>
      </c>
      <c r="X54" s="11">
        <v>10</v>
      </c>
      <c r="Y54" s="7">
        <v>0</v>
      </c>
      <c r="Z54" s="11">
        <v>48.7323943661972</v>
      </c>
      <c r="AA54" s="7">
        <f t="shared" si="26"/>
        <v>0.43</v>
      </c>
      <c r="AB54" s="12">
        <f t="shared" si="1"/>
        <v>28.9995060367683</v>
      </c>
      <c r="AC54" s="13">
        <f t="shared" si="27"/>
        <v>0.18</v>
      </c>
    </row>
    <row r="55" spans="1:29">
      <c r="A55" s="14">
        <v>45638</v>
      </c>
      <c r="B55" s="15">
        <v>212900</v>
      </c>
      <c r="C55" s="7">
        <f t="shared" si="15"/>
        <v>0.08</v>
      </c>
      <c r="D55" s="16">
        <v>155</v>
      </c>
      <c r="E55" s="7">
        <f t="shared" si="16"/>
        <v>0.28</v>
      </c>
      <c r="F55" s="17">
        <v>261</v>
      </c>
      <c r="G55" s="7">
        <f t="shared" si="17"/>
        <v>0.17</v>
      </c>
      <c r="H55" s="17">
        <v>120</v>
      </c>
      <c r="I55" s="18">
        <f t="shared" si="18"/>
        <v>0.26</v>
      </c>
      <c r="J55" s="19">
        <v>22.8</v>
      </c>
      <c r="K55" s="18">
        <f t="shared" si="19"/>
        <v>0.24</v>
      </c>
      <c r="L55" s="20">
        <v>3.93</v>
      </c>
      <c r="M55" s="7">
        <f t="shared" si="20"/>
        <v>0.11</v>
      </c>
      <c r="N55" s="19">
        <v>33.8</v>
      </c>
      <c r="O55" s="7">
        <f t="shared" si="21"/>
        <v>0.14</v>
      </c>
      <c r="P55" s="21">
        <v>18.8</v>
      </c>
      <c r="Q55" s="7">
        <f t="shared" si="22"/>
        <v>0.35</v>
      </c>
      <c r="R55" s="11">
        <v>145322.86</v>
      </c>
      <c r="S55" s="7">
        <f t="shared" si="23"/>
        <v>0.31</v>
      </c>
      <c r="T55" s="11">
        <v>3633.0715</v>
      </c>
      <c r="U55" s="7">
        <f t="shared" si="24"/>
        <v>0.31</v>
      </c>
      <c r="V55" s="11">
        <f t="shared" si="0"/>
        <v>3.82368610141584</v>
      </c>
      <c r="W55" s="7">
        <f t="shared" si="25"/>
        <v>0.08</v>
      </c>
      <c r="X55" s="11">
        <v>10</v>
      </c>
      <c r="Y55" s="7">
        <v>0</v>
      </c>
      <c r="Z55" s="11">
        <v>58.7739463601533</v>
      </c>
      <c r="AA55" s="7">
        <f t="shared" si="26"/>
        <v>0.55</v>
      </c>
      <c r="AB55" s="12">
        <f t="shared" si="1"/>
        <v>19.1184305070792</v>
      </c>
      <c r="AC55" s="13">
        <f t="shared" si="27"/>
        <v>0.08</v>
      </c>
    </row>
    <row r="56" spans="1:29">
      <c r="A56" s="14">
        <v>45639</v>
      </c>
      <c r="B56" s="15">
        <v>268400</v>
      </c>
      <c r="C56" s="7">
        <f t="shared" si="15"/>
        <v>0.33</v>
      </c>
      <c r="D56" s="16">
        <v>155</v>
      </c>
      <c r="E56" s="7">
        <f t="shared" si="16"/>
        <v>0.28</v>
      </c>
      <c r="F56" s="17">
        <v>223</v>
      </c>
      <c r="G56" s="7">
        <f t="shared" si="17"/>
        <v>0.1</v>
      </c>
      <c r="H56" s="17">
        <v>124</v>
      </c>
      <c r="I56" s="18">
        <f t="shared" si="18"/>
        <v>0.27</v>
      </c>
      <c r="J56" s="19">
        <v>23.6</v>
      </c>
      <c r="K56" s="18">
        <f t="shared" si="19"/>
        <v>0.27</v>
      </c>
      <c r="L56" s="20">
        <v>4</v>
      </c>
      <c r="M56" s="7">
        <f t="shared" si="20"/>
        <v>0.12</v>
      </c>
      <c r="N56" s="19">
        <v>35</v>
      </c>
      <c r="O56" s="7">
        <f t="shared" si="21"/>
        <v>0.16</v>
      </c>
      <c r="P56" s="21">
        <v>18.6</v>
      </c>
      <c r="Q56" s="7">
        <f t="shared" si="22"/>
        <v>0.33</v>
      </c>
      <c r="R56" s="11">
        <v>162436.75</v>
      </c>
      <c r="S56" s="7">
        <f t="shared" si="23"/>
        <v>0.39</v>
      </c>
      <c r="T56" s="11">
        <v>4060.91875</v>
      </c>
      <c r="U56" s="7">
        <f t="shared" si="24"/>
        <v>0.39</v>
      </c>
      <c r="V56" s="11">
        <f t="shared" si="0"/>
        <v>3.68470804790172</v>
      </c>
      <c r="W56" s="7">
        <f t="shared" si="25"/>
        <v>0.07</v>
      </c>
      <c r="X56" s="11">
        <v>10</v>
      </c>
      <c r="Y56" s="7">
        <v>0</v>
      </c>
      <c r="Z56" s="11">
        <v>68.8789237668161</v>
      </c>
      <c r="AA56" s="7">
        <f t="shared" si="26"/>
        <v>0.68</v>
      </c>
      <c r="AB56" s="12">
        <f t="shared" si="1"/>
        <v>18.4235402395086</v>
      </c>
      <c r="AC56" s="13">
        <f t="shared" si="27"/>
        <v>0.07</v>
      </c>
    </row>
    <row r="57" spans="1:29">
      <c r="A57" s="14">
        <v>45640</v>
      </c>
      <c r="B57" s="15">
        <v>319900</v>
      </c>
      <c r="C57" s="7">
        <f t="shared" si="15"/>
        <v>0.56</v>
      </c>
      <c r="D57" s="16">
        <v>120</v>
      </c>
      <c r="E57" s="7">
        <f t="shared" si="16"/>
        <v>0.16</v>
      </c>
      <c r="F57" s="17">
        <v>220</v>
      </c>
      <c r="G57" s="7">
        <f t="shared" si="17"/>
        <v>0.1</v>
      </c>
      <c r="H57" s="17">
        <v>100</v>
      </c>
      <c r="I57" s="18">
        <f t="shared" si="18"/>
        <v>0.21</v>
      </c>
      <c r="J57" s="19">
        <v>21.3</v>
      </c>
      <c r="K57" s="18">
        <f t="shared" si="19"/>
        <v>0.17</v>
      </c>
      <c r="L57" s="20">
        <v>3.7</v>
      </c>
      <c r="M57" s="7">
        <f t="shared" si="20"/>
        <v>0.1</v>
      </c>
      <c r="N57" s="19">
        <v>36.1</v>
      </c>
      <c r="O57" s="7">
        <f t="shared" si="21"/>
        <v>0.18</v>
      </c>
      <c r="P57" s="21">
        <v>18.6</v>
      </c>
      <c r="Q57" s="7">
        <f t="shared" si="22"/>
        <v>0.33</v>
      </c>
      <c r="R57" s="11">
        <v>160622.33</v>
      </c>
      <c r="S57" s="7">
        <f t="shared" si="23"/>
        <v>0.38</v>
      </c>
      <c r="T57" s="11">
        <v>4015.55825</v>
      </c>
      <c r="U57" s="7">
        <f t="shared" si="24"/>
        <v>0.38</v>
      </c>
      <c r="V57" s="11">
        <f t="shared" si="0"/>
        <v>4.38158256078093</v>
      </c>
      <c r="W57" s="7">
        <f t="shared" si="25"/>
        <v>0.11</v>
      </c>
      <c r="X57" s="11">
        <v>10</v>
      </c>
      <c r="Y57" s="7">
        <v>0</v>
      </c>
      <c r="Z57" s="11">
        <v>53.9090909090909</v>
      </c>
      <c r="AA57" s="7">
        <f t="shared" si="26"/>
        <v>0.49</v>
      </c>
      <c r="AB57" s="12">
        <f t="shared" si="1"/>
        <v>21.9079128039047</v>
      </c>
      <c r="AC57" s="13">
        <f t="shared" si="27"/>
        <v>0.11</v>
      </c>
    </row>
    <row r="58" spans="1:29">
      <c r="A58" s="14">
        <v>45641</v>
      </c>
      <c r="B58" s="15">
        <v>317900</v>
      </c>
      <c r="C58" s="7">
        <f t="shared" si="15"/>
        <v>0.55</v>
      </c>
      <c r="D58" s="16">
        <v>118</v>
      </c>
      <c r="E58" s="7">
        <f t="shared" si="16"/>
        <v>0.15</v>
      </c>
      <c r="F58" s="17">
        <v>342</v>
      </c>
      <c r="G58" s="7">
        <f t="shared" si="17"/>
        <v>0.31</v>
      </c>
      <c r="H58" s="17">
        <v>116</v>
      </c>
      <c r="I58" s="18">
        <f t="shared" si="18"/>
        <v>0.25</v>
      </c>
      <c r="J58" s="19">
        <v>31.6</v>
      </c>
      <c r="K58" s="18">
        <f t="shared" si="19"/>
        <v>0.64</v>
      </c>
      <c r="L58" s="20">
        <v>4.28</v>
      </c>
      <c r="M58" s="7">
        <f t="shared" si="20"/>
        <v>0.13</v>
      </c>
      <c r="N58" s="19">
        <v>34.4</v>
      </c>
      <c r="O58" s="7">
        <f t="shared" si="21"/>
        <v>0.15</v>
      </c>
      <c r="P58" s="21">
        <v>18.4</v>
      </c>
      <c r="Q58" s="7">
        <f t="shared" si="22"/>
        <v>0.31</v>
      </c>
      <c r="R58" s="11">
        <v>185963.85</v>
      </c>
      <c r="S58" s="7">
        <f t="shared" si="23"/>
        <v>0.5</v>
      </c>
      <c r="T58" s="11">
        <v>4649.09625</v>
      </c>
      <c r="U58" s="7">
        <f t="shared" si="24"/>
        <v>0.5</v>
      </c>
      <c r="V58" s="11">
        <f t="shared" si="0"/>
        <v>5.84639433954503</v>
      </c>
      <c r="W58" s="7">
        <f t="shared" si="25"/>
        <v>0.18</v>
      </c>
      <c r="X58" s="11">
        <v>10</v>
      </c>
      <c r="Y58" s="7">
        <v>0</v>
      </c>
      <c r="Z58" s="11">
        <v>34.0643274853801</v>
      </c>
      <c r="AA58" s="7">
        <f t="shared" si="26"/>
        <v>0.24</v>
      </c>
      <c r="AB58" s="12">
        <f t="shared" si="1"/>
        <v>29.2319716977251</v>
      </c>
      <c r="AC58" s="13">
        <f t="shared" si="27"/>
        <v>0.18</v>
      </c>
    </row>
    <row r="59" spans="1:29">
      <c r="A59" s="14">
        <v>45642</v>
      </c>
      <c r="B59" s="15">
        <v>314000</v>
      </c>
      <c r="C59" s="7">
        <f t="shared" si="15"/>
        <v>0.54</v>
      </c>
      <c r="D59" s="16">
        <v>126</v>
      </c>
      <c r="E59" s="7">
        <f t="shared" si="16"/>
        <v>0.18</v>
      </c>
      <c r="F59" s="17">
        <v>337</v>
      </c>
      <c r="G59" s="7">
        <f t="shared" si="17"/>
        <v>0.3</v>
      </c>
      <c r="H59" s="17">
        <v>128</v>
      </c>
      <c r="I59" s="18">
        <f t="shared" si="18"/>
        <v>0.28</v>
      </c>
      <c r="J59" s="19">
        <v>29.2</v>
      </c>
      <c r="K59" s="18">
        <f t="shared" si="19"/>
        <v>0.53</v>
      </c>
      <c r="L59" s="20">
        <v>4.28</v>
      </c>
      <c r="M59" s="7">
        <f t="shared" si="20"/>
        <v>0.13</v>
      </c>
      <c r="N59" s="19">
        <v>34.7</v>
      </c>
      <c r="O59" s="7">
        <f t="shared" si="21"/>
        <v>0.15</v>
      </c>
      <c r="P59" s="21">
        <v>18.2</v>
      </c>
      <c r="Q59" s="7">
        <f t="shared" si="22"/>
        <v>0.3</v>
      </c>
      <c r="R59" s="11">
        <v>192663.27</v>
      </c>
      <c r="S59" s="7">
        <f t="shared" si="23"/>
        <v>0.53</v>
      </c>
      <c r="T59" s="11">
        <v>4816.58175</v>
      </c>
      <c r="U59" s="7">
        <f t="shared" si="24"/>
        <v>0.53</v>
      </c>
      <c r="V59" s="11">
        <f t="shared" si="0"/>
        <v>5.49238056636327</v>
      </c>
      <c r="W59" s="7">
        <f t="shared" si="25"/>
        <v>0.16</v>
      </c>
      <c r="X59" s="11">
        <v>10</v>
      </c>
      <c r="Y59" s="7">
        <v>0</v>
      </c>
      <c r="Z59" s="11">
        <v>36.4094955489614</v>
      </c>
      <c r="AA59" s="7">
        <f t="shared" si="26"/>
        <v>0.27</v>
      </c>
      <c r="AB59" s="12">
        <f t="shared" si="1"/>
        <v>27.4619028318164</v>
      </c>
      <c r="AC59" s="13">
        <f t="shared" si="27"/>
        <v>0.16</v>
      </c>
    </row>
    <row r="60" spans="1:29">
      <c r="A60" s="14">
        <v>45643</v>
      </c>
      <c r="B60" s="15">
        <v>386600</v>
      </c>
      <c r="C60" s="7">
        <f t="shared" si="15"/>
        <v>0.86</v>
      </c>
      <c r="D60" s="16">
        <v>80</v>
      </c>
      <c r="E60" s="7">
        <f t="shared" si="16"/>
        <v>0.02</v>
      </c>
      <c r="F60" s="17">
        <v>406</v>
      </c>
      <c r="G60" s="7">
        <f t="shared" si="17"/>
        <v>0.42</v>
      </c>
      <c r="H60" s="17">
        <v>148</v>
      </c>
      <c r="I60" s="18">
        <f t="shared" si="18"/>
        <v>0.33</v>
      </c>
      <c r="J60" s="19">
        <v>29.3</v>
      </c>
      <c r="K60" s="18">
        <f t="shared" si="19"/>
        <v>0.53</v>
      </c>
      <c r="L60" s="20">
        <v>4.4</v>
      </c>
      <c r="M60" s="7">
        <f t="shared" si="20"/>
        <v>0.14</v>
      </c>
      <c r="N60" s="19">
        <v>37.2</v>
      </c>
      <c r="O60" s="7">
        <f t="shared" si="21"/>
        <v>0.2</v>
      </c>
      <c r="P60" s="21">
        <v>18</v>
      </c>
      <c r="Q60" s="7">
        <f t="shared" si="22"/>
        <v>0.28</v>
      </c>
      <c r="R60" s="11">
        <v>194532.19</v>
      </c>
      <c r="S60" s="7">
        <f t="shared" si="23"/>
        <v>0.54</v>
      </c>
      <c r="T60" s="11">
        <v>4863.30475</v>
      </c>
      <c r="U60" s="7">
        <f t="shared" si="24"/>
        <v>0.54</v>
      </c>
      <c r="V60" s="11">
        <f t="shared" si="0"/>
        <v>8.06856695542265</v>
      </c>
      <c r="W60" s="7">
        <f t="shared" si="25"/>
        <v>0.29</v>
      </c>
      <c r="X60" s="11">
        <v>10</v>
      </c>
      <c r="Y60" s="7">
        <v>0</v>
      </c>
      <c r="Z60" s="11">
        <v>18.6206896551724</v>
      </c>
      <c r="AA60" s="7">
        <f t="shared" si="26"/>
        <v>0.05</v>
      </c>
      <c r="AB60" s="12">
        <f t="shared" si="1"/>
        <v>40.3428347771132</v>
      </c>
      <c r="AC60" s="13">
        <f t="shared" si="27"/>
        <v>0.29</v>
      </c>
    </row>
    <row r="61" spans="1:29">
      <c r="A61" s="14">
        <v>45644</v>
      </c>
      <c r="B61" s="15">
        <v>362900</v>
      </c>
      <c r="C61" s="7">
        <f t="shared" si="15"/>
        <v>0.76</v>
      </c>
      <c r="D61" s="16">
        <v>106</v>
      </c>
      <c r="E61" s="7">
        <f t="shared" si="16"/>
        <v>0.11</v>
      </c>
      <c r="F61" s="17">
        <v>493</v>
      </c>
      <c r="G61" s="7">
        <f t="shared" si="17"/>
        <v>0.57</v>
      </c>
      <c r="H61" s="17">
        <v>160</v>
      </c>
      <c r="I61" s="18">
        <f t="shared" si="18"/>
        <v>0.36</v>
      </c>
      <c r="J61" s="19">
        <v>35</v>
      </c>
      <c r="K61" s="18">
        <f t="shared" si="19"/>
        <v>0.8</v>
      </c>
      <c r="L61" s="20">
        <v>5.52</v>
      </c>
      <c r="M61" s="7">
        <f t="shared" si="20"/>
        <v>0.2</v>
      </c>
      <c r="N61" s="19">
        <v>40.2</v>
      </c>
      <c r="O61" s="7">
        <f t="shared" si="21"/>
        <v>0.26</v>
      </c>
      <c r="P61" s="21">
        <v>17.8</v>
      </c>
      <c r="Q61" s="7">
        <f t="shared" si="22"/>
        <v>0.26</v>
      </c>
      <c r="R61" s="11">
        <v>196775.6</v>
      </c>
      <c r="S61" s="7">
        <f t="shared" si="23"/>
        <v>0.55</v>
      </c>
      <c r="T61" s="11">
        <v>4919.39</v>
      </c>
      <c r="U61" s="7">
        <f t="shared" si="24"/>
        <v>0.55</v>
      </c>
      <c r="V61" s="11">
        <f t="shared" si="0"/>
        <v>9.09206730915825</v>
      </c>
      <c r="W61" s="7">
        <f t="shared" si="25"/>
        <v>0.35</v>
      </c>
      <c r="X61" s="11">
        <v>10</v>
      </c>
      <c r="Y61" s="7">
        <v>0</v>
      </c>
      <c r="Z61" s="11">
        <v>21.1561866125761</v>
      </c>
      <c r="AA61" s="7">
        <f t="shared" si="26"/>
        <v>0.08</v>
      </c>
      <c r="AB61" s="12">
        <f t="shared" si="1"/>
        <v>45.4603365457913</v>
      </c>
      <c r="AC61" s="13">
        <f t="shared" si="27"/>
        <v>0.35</v>
      </c>
    </row>
    <row r="62" spans="1:29">
      <c r="A62" s="14">
        <v>45645</v>
      </c>
      <c r="B62" s="15">
        <v>383400</v>
      </c>
      <c r="C62" s="7">
        <f t="shared" si="15"/>
        <v>0.85</v>
      </c>
      <c r="D62" s="16">
        <v>120</v>
      </c>
      <c r="E62" s="7">
        <f t="shared" si="16"/>
        <v>0.16</v>
      </c>
      <c r="F62" s="17">
        <v>243</v>
      </c>
      <c r="G62" s="7">
        <f t="shared" si="17"/>
        <v>0.14</v>
      </c>
      <c r="H62" s="17">
        <v>112</v>
      </c>
      <c r="I62" s="18">
        <f t="shared" si="18"/>
        <v>0.24</v>
      </c>
      <c r="J62" s="19">
        <v>28.6</v>
      </c>
      <c r="K62" s="18">
        <f t="shared" si="19"/>
        <v>0.5</v>
      </c>
      <c r="L62" s="20">
        <v>5.12</v>
      </c>
      <c r="M62" s="7">
        <f t="shared" si="20"/>
        <v>0.18</v>
      </c>
      <c r="N62" s="19">
        <v>34.4</v>
      </c>
      <c r="O62" s="7">
        <f t="shared" si="21"/>
        <v>0.15</v>
      </c>
      <c r="P62" s="21">
        <v>17.7</v>
      </c>
      <c r="Q62" s="7">
        <f t="shared" si="22"/>
        <v>0.25</v>
      </c>
      <c r="R62" s="11">
        <v>213706.06</v>
      </c>
      <c r="S62" s="7">
        <f t="shared" si="23"/>
        <v>0.63</v>
      </c>
      <c r="T62" s="11">
        <v>5342.6515</v>
      </c>
      <c r="U62" s="7">
        <f t="shared" si="24"/>
        <v>0.63</v>
      </c>
      <c r="V62" s="11">
        <f t="shared" si="0"/>
        <v>4.35954881204585</v>
      </c>
      <c r="W62" s="7">
        <f t="shared" si="25"/>
        <v>0.1</v>
      </c>
      <c r="X62" s="11">
        <v>10</v>
      </c>
      <c r="Y62" s="7">
        <v>0</v>
      </c>
      <c r="Z62" s="11">
        <v>48.8065843621399</v>
      </c>
      <c r="AA62" s="7">
        <f t="shared" si="26"/>
        <v>0.43</v>
      </c>
      <c r="AB62" s="12">
        <f t="shared" si="1"/>
        <v>21.7977440602293</v>
      </c>
      <c r="AC62" s="13">
        <f t="shared" si="27"/>
        <v>0.1</v>
      </c>
    </row>
    <row r="63" spans="1:29">
      <c r="A63" s="14">
        <v>45646</v>
      </c>
      <c r="B63" s="15">
        <v>381800</v>
      </c>
      <c r="C63" s="7">
        <f t="shared" si="15"/>
        <v>0.84</v>
      </c>
      <c r="D63" s="16">
        <v>104</v>
      </c>
      <c r="E63" s="7">
        <f t="shared" si="16"/>
        <v>0.1</v>
      </c>
      <c r="F63" s="17">
        <v>280</v>
      </c>
      <c r="G63" s="7">
        <f t="shared" si="17"/>
        <v>0.2</v>
      </c>
      <c r="H63" s="17">
        <v>144</v>
      </c>
      <c r="I63" s="18">
        <f t="shared" si="18"/>
        <v>0.32</v>
      </c>
      <c r="J63" s="19">
        <v>29.8</v>
      </c>
      <c r="K63" s="18">
        <f t="shared" si="19"/>
        <v>0.56</v>
      </c>
      <c r="L63" s="20">
        <v>5.22</v>
      </c>
      <c r="M63" s="7">
        <f t="shared" si="20"/>
        <v>0.18</v>
      </c>
      <c r="N63" s="19">
        <v>36.6</v>
      </c>
      <c r="O63" s="7">
        <f t="shared" si="21"/>
        <v>0.19</v>
      </c>
      <c r="P63" s="21">
        <v>17.6</v>
      </c>
      <c r="Q63" s="7">
        <f t="shared" si="22"/>
        <v>0.25</v>
      </c>
      <c r="R63" s="11">
        <v>237347.17</v>
      </c>
      <c r="S63" s="7">
        <f t="shared" si="23"/>
        <v>0.74</v>
      </c>
      <c r="T63" s="11">
        <v>5933.67925</v>
      </c>
      <c r="U63" s="7">
        <f t="shared" si="24"/>
        <v>0.74</v>
      </c>
      <c r="V63" s="11">
        <f t="shared" si="0"/>
        <v>4.50411942977875</v>
      </c>
      <c r="W63" s="7">
        <f t="shared" si="25"/>
        <v>0.11</v>
      </c>
      <c r="X63" s="11">
        <v>10</v>
      </c>
      <c r="Y63" s="7">
        <v>0</v>
      </c>
      <c r="Z63" s="11">
        <v>36.6785714285714</v>
      </c>
      <c r="AA63" s="7">
        <f t="shared" si="26"/>
        <v>0.27</v>
      </c>
      <c r="AB63" s="12">
        <f t="shared" si="1"/>
        <v>22.5205971488937</v>
      </c>
      <c r="AC63" s="13">
        <f t="shared" si="27"/>
        <v>0.11</v>
      </c>
    </row>
    <row r="64" spans="1:29">
      <c r="A64" s="14">
        <v>45647</v>
      </c>
      <c r="B64" s="15">
        <v>379600</v>
      </c>
      <c r="C64" s="7">
        <f t="shared" si="15"/>
        <v>0.83</v>
      </c>
      <c r="D64" s="16">
        <v>132</v>
      </c>
      <c r="E64" s="7">
        <f t="shared" si="16"/>
        <v>0.2</v>
      </c>
      <c r="F64" s="17">
        <v>231</v>
      </c>
      <c r="G64" s="7">
        <f t="shared" si="17"/>
        <v>0.11</v>
      </c>
      <c r="H64" s="17">
        <v>108</v>
      </c>
      <c r="I64" s="18">
        <f t="shared" si="18"/>
        <v>0.23</v>
      </c>
      <c r="J64" s="19">
        <v>26.5</v>
      </c>
      <c r="K64" s="18">
        <f t="shared" si="19"/>
        <v>0.41</v>
      </c>
      <c r="L64" s="20">
        <v>3.9</v>
      </c>
      <c r="M64" s="7">
        <f t="shared" si="20"/>
        <v>0.11</v>
      </c>
      <c r="N64" s="19">
        <v>35.4</v>
      </c>
      <c r="O64" s="7">
        <f t="shared" si="21"/>
        <v>0.17</v>
      </c>
      <c r="P64" s="21">
        <v>17.5</v>
      </c>
      <c r="Q64" s="7">
        <f t="shared" si="22"/>
        <v>0.24</v>
      </c>
      <c r="R64" s="11">
        <v>200068.71</v>
      </c>
      <c r="S64" s="7">
        <f t="shared" si="23"/>
        <v>0.57</v>
      </c>
      <c r="T64" s="11">
        <v>5001.71775</v>
      </c>
      <c r="U64" s="7">
        <f t="shared" si="24"/>
        <v>0.57</v>
      </c>
      <c r="V64" s="11">
        <f t="shared" si="0"/>
        <v>4.38287426354676</v>
      </c>
      <c r="W64" s="7">
        <f t="shared" si="25"/>
        <v>0.11</v>
      </c>
      <c r="X64" s="11">
        <v>10</v>
      </c>
      <c r="Y64" s="7">
        <v>0</v>
      </c>
      <c r="Z64" s="11">
        <v>56.6666666666667</v>
      </c>
      <c r="AA64" s="7">
        <f t="shared" si="26"/>
        <v>0.53</v>
      </c>
      <c r="AB64" s="12">
        <f t="shared" si="1"/>
        <v>21.9143713177338</v>
      </c>
      <c r="AC64" s="13">
        <f t="shared" si="27"/>
        <v>0.11</v>
      </c>
    </row>
    <row r="65" spans="1:29">
      <c r="A65" s="14">
        <v>45648</v>
      </c>
      <c r="B65" s="15">
        <v>355700</v>
      </c>
      <c r="C65" s="7">
        <f t="shared" si="15"/>
        <v>0.72</v>
      </c>
      <c r="D65" s="16">
        <v>102</v>
      </c>
      <c r="E65" s="7">
        <f t="shared" si="16"/>
        <v>0.1</v>
      </c>
      <c r="F65" s="17">
        <v>194</v>
      </c>
      <c r="G65" s="7">
        <f t="shared" si="17"/>
        <v>0.05</v>
      </c>
      <c r="H65" s="17">
        <v>128</v>
      </c>
      <c r="I65" s="18">
        <f t="shared" si="18"/>
        <v>0.28</v>
      </c>
      <c r="J65" s="19">
        <v>31.3</v>
      </c>
      <c r="K65" s="18">
        <f t="shared" si="19"/>
        <v>0.63</v>
      </c>
      <c r="L65" s="20">
        <v>5.6</v>
      </c>
      <c r="M65" s="7">
        <f t="shared" si="20"/>
        <v>0.21</v>
      </c>
      <c r="N65" s="19">
        <v>38.7</v>
      </c>
      <c r="O65" s="7">
        <f t="shared" si="21"/>
        <v>0.23</v>
      </c>
      <c r="P65" s="21">
        <v>17.4</v>
      </c>
      <c r="Q65" s="7">
        <f t="shared" si="22"/>
        <v>0.23</v>
      </c>
      <c r="R65" s="11">
        <v>218328.88</v>
      </c>
      <c r="S65" s="7">
        <f t="shared" si="23"/>
        <v>0.65</v>
      </c>
      <c r="T65" s="11">
        <v>5458.222</v>
      </c>
      <c r="U65" s="7">
        <f t="shared" si="24"/>
        <v>0.65</v>
      </c>
      <c r="V65" s="11">
        <f t="shared" si="0"/>
        <v>3.16063545967899</v>
      </c>
      <c r="W65" s="7">
        <f t="shared" si="25"/>
        <v>0.04</v>
      </c>
      <c r="X65" s="11">
        <v>10</v>
      </c>
      <c r="Y65" s="7">
        <v>0</v>
      </c>
      <c r="Z65" s="11">
        <v>51.9072164948454</v>
      </c>
      <c r="AA65" s="7">
        <f t="shared" si="26"/>
        <v>0.47</v>
      </c>
      <c r="AB65" s="12">
        <f t="shared" si="1"/>
        <v>15.803177298395</v>
      </c>
      <c r="AC65" s="13">
        <f t="shared" si="27"/>
        <v>0.04</v>
      </c>
    </row>
    <row r="66" spans="1:29">
      <c r="A66" s="14">
        <v>45649</v>
      </c>
      <c r="B66" s="15">
        <v>332400</v>
      </c>
      <c r="C66" s="7">
        <f t="shared" si="15"/>
        <v>0.62</v>
      </c>
      <c r="D66" s="16">
        <v>214</v>
      </c>
      <c r="E66" s="7">
        <f t="shared" si="16"/>
        <v>0.48</v>
      </c>
      <c r="F66" s="17">
        <v>432</v>
      </c>
      <c r="G66" s="7">
        <f t="shared" si="17"/>
        <v>0.46</v>
      </c>
      <c r="H66" s="17">
        <v>204</v>
      </c>
      <c r="I66" s="18">
        <f t="shared" si="18"/>
        <v>0.46</v>
      </c>
      <c r="J66" s="19">
        <v>28.8</v>
      </c>
      <c r="K66" s="18">
        <f t="shared" si="19"/>
        <v>0.51</v>
      </c>
      <c r="L66" s="20">
        <v>5.64</v>
      </c>
      <c r="M66" s="7">
        <f t="shared" si="20"/>
        <v>0.21</v>
      </c>
      <c r="N66" s="19">
        <v>39.6</v>
      </c>
      <c r="O66" s="7">
        <f t="shared" si="21"/>
        <v>0.25</v>
      </c>
      <c r="P66" s="21">
        <v>17.3</v>
      </c>
      <c r="Q66" s="7">
        <f t="shared" si="22"/>
        <v>0.22</v>
      </c>
      <c r="R66" s="11">
        <v>270951.17</v>
      </c>
      <c r="S66" s="7">
        <f t="shared" si="23"/>
        <v>0.9</v>
      </c>
      <c r="T66" s="11">
        <v>6773.77924999999</v>
      </c>
      <c r="U66" s="7">
        <f t="shared" si="24"/>
        <v>0.9</v>
      </c>
      <c r="V66" s="11">
        <f t="shared" ref="V66:V129" si="28">B66*F66/400000/T66*100</f>
        <v>5.29972983692967</v>
      </c>
      <c r="W66" s="7">
        <f t="shared" si="25"/>
        <v>0.15</v>
      </c>
      <c r="X66" s="11">
        <v>10</v>
      </c>
      <c r="Y66" s="7">
        <v>0</v>
      </c>
      <c r="Z66" s="11">
        <v>49.1898148148148</v>
      </c>
      <c r="AA66" s="7">
        <f t="shared" si="26"/>
        <v>0.43</v>
      </c>
      <c r="AB66" s="12">
        <f t="shared" ref="AB66:AB129" si="29">V66*5</f>
        <v>26.4986491846483</v>
      </c>
      <c r="AC66" s="13">
        <f t="shared" si="27"/>
        <v>0.15</v>
      </c>
    </row>
    <row r="67" spans="1:29">
      <c r="A67" s="14">
        <v>45650</v>
      </c>
      <c r="B67" s="15">
        <v>340800</v>
      </c>
      <c r="C67" s="7">
        <f t="shared" ref="C67:C98" si="30">ROUND((B67-MIN($B$2:$B$182))/(MAX($B$2:$B$182)-MIN($B$2:$B$182)),2)</f>
        <v>0.66</v>
      </c>
      <c r="D67" s="16">
        <v>204</v>
      </c>
      <c r="E67" s="7">
        <f t="shared" ref="E67:E98" si="31">ROUND((D67-MIN($D$2:$D$182))/(MAX($D$2:$D$182)-MIN($D$2:$D$182)),2)</f>
        <v>0.44</v>
      </c>
      <c r="F67" s="17">
        <v>308</v>
      </c>
      <c r="G67" s="7">
        <f t="shared" ref="G67:G98" si="32">ROUND((F67-MIN($F$2:$F$182))/(MAX($F$2:$F$182)-MIN($F$2:$F$182)),2)</f>
        <v>0.25</v>
      </c>
      <c r="H67" s="17">
        <v>140</v>
      </c>
      <c r="I67" s="18">
        <f t="shared" ref="I67:I98" si="33">ROUND((H67-MIN($H$2:$H$182))/(MAX($H$2:$H$182)-MIN($H$2:$H$182)),2)</f>
        <v>0.31</v>
      </c>
      <c r="J67" s="19">
        <v>28.6</v>
      </c>
      <c r="K67" s="18">
        <f t="shared" ref="K67:K98" si="34">ROUND((J67-MIN($J$2:$J$182))/(MAX($J$2:$J$182)-MIN($J$2:$J$182)),2)</f>
        <v>0.5</v>
      </c>
      <c r="L67" s="20">
        <v>3.98</v>
      </c>
      <c r="M67" s="7">
        <f t="shared" ref="M67:M98" si="35">ROUND((L67-MIN($L$2:$L$182))/(MAX($L$2:$L$182)-MIN($L$2:$L$182)),2)</f>
        <v>0.11</v>
      </c>
      <c r="N67" s="19">
        <v>37.4</v>
      </c>
      <c r="O67" s="7">
        <f t="shared" ref="O67:O98" si="36">ROUND((N67-MIN($N$2:$N$182))/(MAX($N$2:$N$182)-MIN($N$2:$N$182)),2)</f>
        <v>0.2</v>
      </c>
      <c r="P67" s="21">
        <v>17.3</v>
      </c>
      <c r="Q67" s="7">
        <f t="shared" ref="Q67:Q98" si="37">ROUND((P67-MIN($P$2:$P$182))/(MAX($P$2:$P$182)-MIN($P$2:$P$182)),2)</f>
        <v>0.22</v>
      </c>
      <c r="R67" s="11">
        <v>166114.11</v>
      </c>
      <c r="S67" s="7">
        <f t="shared" ref="S67:S98" si="38">ROUND((R67-MIN($R$2:$R$182))/(MAX($R$2:$R$182)-MIN($R$2:$R$182)),2)</f>
        <v>0.41</v>
      </c>
      <c r="T67" s="11">
        <v>4152.85275</v>
      </c>
      <c r="U67" s="7">
        <f t="shared" ref="U67:U98" si="39">ROUND((T67-MIN($T$2:$T$182))/(MAX($T$2:$T$182)-MIN($T$2:$T$182)),2)</f>
        <v>0.41</v>
      </c>
      <c r="V67" s="11">
        <f t="shared" si="28"/>
        <v>6.31893341270046</v>
      </c>
      <c r="W67" s="7">
        <f t="shared" ref="W67:W98" si="40">ROUND((V67-MIN($V$2:$V$182))/(MAX($V$2:$V$182)-MIN($V$2:$V$182)),2)</f>
        <v>0.2</v>
      </c>
      <c r="X67" s="11">
        <v>10</v>
      </c>
      <c r="Y67" s="7">
        <v>0</v>
      </c>
      <c r="Z67" s="11">
        <v>65.7792207792208</v>
      </c>
      <c r="AA67" s="7">
        <f t="shared" ref="AA67:AA98" si="41">ROUND((Z67-MIN($Z$2:$Z$182))/(MAX($Z$2:$Z$182)-MIN($Z$2:$Z$182)),2)</f>
        <v>0.64</v>
      </c>
      <c r="AB67" s="12">
        <f t="shared" si="29"/>
        <v>31.5946670635023</v>
      </c>
      <c r="AC67" s="13">
        <f t="shared" ref="AC67:AC98" si="42">ROUND((AB67-MIN($AB$2:$AB$182))/(MAX($AB$2:$AB$182)-MIN($AB$2:$AB$182)),2)</f>
        <v>0.2</v>
      </c>
    </row>
    <row r="68" spans="1:29">
      <c r="A68" s="14">
        <v>45651</v>
      </c>
      <c r="B68" s="15">
        <v>324200</v>
      </c>
      <c r="C68" s="7">
        <f t="shared" si="30"/>
        <v>0.58</v>
      </c>
      <c r="D68" s="16">
        <v>129</v>
      </c>
      <c r="E68" s="7">
        <f t="shared" si="31"/>
        <v>0.19</v>
      </c>
      <c r="F68" s="17">
        <v>223</v>
      </c>
      <c r="G68" s="7">
        <f t="shared" si="32"/>
        <v>0.1</v>
      </c>
      <c r="H68" s="17">
        <v>132</v>
      </c>
      <c r="I68" s="18">
        <f t="shared" si="33"/>
        <v>0.29</v>
      </c>
      <c r="J68" s="19">
        <v>28.8</v>
      </c>
      <c r="K68" s="18">
        <f t="shared" si="34"/>
        <v>0.51</v>
      </c>
      <c r="L68" s="20">
        <v>4.56</v>
      </c>
      <c r="M68" s="7">
        <f t="shared" si="35"/>
        <v>0.15</v>
      </c>
      <c r="N68" s="19">
        <v>39.1</v>
      </c>
      <c r="O68" s="7">
        <f t="shared" si="36"/>
        <v>0.24</v>
      </c>
      <c r="P68" s="21">
        <v>17.3</v>
      </c>
      <c r="Q68" s="7">
        <f t="shared" si="37"/>
        <v>0.22</v>
      </c>
      <c r="R68" s="11">
        <v>208513.28</v>
      </c>
      <c r="S68" s="7">
        <f t="shared" si="38"/>
        <v>0.61</v>
      </c>
      <c r="T68" s="11">
        <v>5212.832</v>
      </c>
      <c r="U68" s="7">
        <f t="shared" si="39"/>
        <v>0.61</v>
      </c>
      <c r="V68" s="11">
        <f t="shared" si="28"/>
        <v>3.46724199053413</v>
      </c>
      <c r="W68" s="7">
        <f t="shared" si="40"/>
        <v>0.06</v>
      </c>
      <c r="X68" s="11">
        <v>10</v>
      </c>
      <c r="Y68" s="7">
        <v>0</v>
      </c>
      <c r="Z68" s="11">
        <v>57.1300448430493</v>
      </c>
      <c r="AA68" s="7">
        <f t="shared" si="41"/>
        <v>0.53</v>
      </c>
      <c r="AB68" s="12">
        <f t="shared" si="29"/>
        <v>17.3362099526706</v>
      </c>
      <c r="AC68" s="13">
        <f t="shared" si="42"/>
        <v>0.06</v>
      </c>
    </row>
    <row r="69" spans="1:29">
      <c r="A69" s="14">
        <v>45652</v>
      </c>
      <c r="B69" s="15">
        <v>295200</v>
      </c>
      <c r="C69" s="7">
        <f t="shared" si="30"/>
        <v>0.45</v>
      </c>
      <c r="D69" s="16">
        <v>218</v>
      </c>
      <c r="E69" s="7">
        <f t="shared" si="31"/>
        <v>0.49</v>
      </c>
      <c r="F69" s="17">
        <v>390</v>
      </c>
      <c r="G69" s="7">
        <f t="shared" si="32"/>
        <v>0.39</v>
      </c>
      <c r="H69" s="17">
        <v>168</v>
      </c>
      <c r="I69" s="18">
        <f t="shared" si="33"/>
        <v>0.38</v>
      </c>
      <c r="J69" s="19">
        <v>30.7</v>
      </c>
      <c r="K69" s="18">
        <f t="shared" si="34"/>
        <v>0.6</v>
      </c>
      <c r="L69" s="20">
        <v>4.78</v>
      </c>
      <c r="M69" s="7">
        <f t="shared" si="35"/>
        <v>0.16</v>
      </c>
      <c r="N69" s="19">
        <v>39.2</v>
      </c>
      <c r="O69" s="7">
        <f t="shared" si="36"/>
        <v>0.24</v>
      </c>
      <c r="P69" s="21">
        <v>17.3</v>
      </c>
      <c r="Q69" s="7">
        <f t="shared" si="37"/>
        <v>0.22</v>
      </c>
      <c r="R69" s="11">
        <v>235379.28</v>
      </c>
      <c r="S69" s="7">
        <f t="shared" si="38"/>
        <v>0.73</v>
      </c>
      <c r="T69" s="11">
        <v>5884.482</v>
      </c>
      <c r="U69" s="7">
        <f t="shared" si="39"/>
        <v>0.73</v>
      </c>
      <c r="V69" s="11">
        <f t="shared" si="28"/>
        <v>4.89116969004239</v>
      </c>
      <c r="W69" s="7">
        <f t="shared" si="40"/>
        <v>0.13</v>
      </c>
      <c r="X69" s="11">
        <v>10</v>
      </c>
      <c r="Y69" s="7">
        <v>0</v>
      </c>
      <c r="Z69" s="11">
        <v>55.4358974358974</v>
      </c>
      <c r="AA69" s="7">
        <f t="shared" si="41"/>
        <v>0.51</v>
      </c>
      <c r="AB69" s="12">
        <f t="shared" si="29"/>
        <v>24.4558484502119</v>
      </c>
      <c r="AC69" s="13">
        <f t="shared" si="42"/>
        <v>0.13</v>
      </c>
    </row>
    <row r="70" spans="1:29">
      <c r="A70" s="14">
        <v>45653</v>
      </c>
      <c r="B70" s="15">
        <v>300800</v>
      </c>
      <c r="C70" s="7">
        <f t="shared" si="30"/>
        <v>0.48</v>
      </c>
      <c r="D70" s="16">
        <v>142</v>
      </c>
      <c r="E70" s="7">
        <f t="shared" si="31"/>
        <v>0.23</v>
      </c>
      <c r="F70" s="17">
        <v>251</v>
      </c>
      <c r="G70" s="7">
        <f t="shared" si="32"/>
        <v>0.15</v>
      </c>
      <c r="H70" s="17">
        <v>144</v>
      </c>
      <c r="I70" s="18">
        <f t="shared" si="33"/>
        <v>0.32</v>
      </c>
      <c r="J70" s="19">
        <v>32.2</v>
      </c>
      <c r="K70" s="18">
        <f t="shared" si="34"/>
        <v>0.67</v>
      </c>
      <c r="L70" s="20">
        <v>4.7</v>
      </c>
      <c r="M70" s="7">
        <f t="shared" si="35"/>
        <v>0.16</v>
      </c>
      <c r="N70" s="19">
        <v>37.3</v>
      </c>
      <c r="O70" s="7">
        <f t="shared" si="36"/>
        <v>0.2</v>
      </c>
      <c r="P70" s="21">
        <v>17.3</v>
      </c>
      <c r="Q70" s="7">
        <f t="shared" si="37"/>
        <v>0.22</v>
      </c>
      <c r="R70" s="11">
        <v>202057.96</v>
      </c>
      <c r="S70" s="7">
        <f t="shared" si="38"/>
        <v>0.58</v>
      </c>
      <c r="T70" s="11">
        <v>5051.449</v>
      </c>
      <c r="U70" s="7">
        <f t="shared" si="39"/>
        <v>0.58</v>
      </c>
      <c r="V70" s="11">
        <f t="shared" si="28"/>
        <v>3.73659122362712</v>
      </c>
      <c r="W70" s="7">
        <f t="shared" si="40"/>
        <v>0.07</v>
      </c>
      <c r="X70" s="11">
        <v>10</v>
      </c>
      <c r="Y70" s="7">
        <v>0</v>
      </c>
      <c r="Z70" s="11">
        <v>55.6175298804781</v>
      </c>
      <c r="AA70" s="7">
        <f t="shared" si="41"/>
        <v>0.51</v>
      </c>
      <c r="AB70" s="12">
        <f t="shared" si="29"/>
        <v>18.6829561181356</v>
      </c>
      <c r="AC70" s="13">
        <f t="shared" si="42"/>
        <v>0.07</v>
      </c>
    </row>
    <row r="71" spans="1:29">
      <c r="A71" s="14">
        <v>45656</v>
      </c>
      <c r="B71" s="15">
        <v>346700</v>
      </c>
      <c r="C71" s="7">
        <f t="shared" si="30"/>
        <v>0.68</v>
      </c>
      <c r="D71" s="16">
        <v>150</v>
      </c>
      <c r="E71" s="7">
        <f t="shared" si="31"/>
        <v>0.26</v>
      </c>
      <c r="F71" s="17">
        <v>293</v>
      </c>
      <c r="G71" s="7">
        <f t="shared" si="32"/>
        <v>0.22</v>
      </c>
      <c r="H71" s="17">
        <v>132</v>
      </c>
      <c r="I71" s="18">
        <f t="shared" si="33"/>
        <v>0.29</v>
      </c>
      <c r="J71" s="19">
        <v>28.8</v>
      </c>
      <c r="K71" s="18">
        <f t="shared" si="34"/>
        <v>0.51</v>
      </c>
      <c r="L71" s="20">
        <v>5.14</v>
      </c>
      <c r="M71" s="7">
        <f t="shared" si="35"/>
        <v>0.18</v>
      </c>
      <c r="N71" s="19">
        <v>36.4</v>
      </c>
      <c r="O71" s="7">
        <f t="shared" si="36"/>
        <v>0.19</v>
      </c>
      <c r="P71" s="21">
        <v>17.1</v>
      </c>
      <c r="Q71" s="7">
        <f t="shared" si="37"/>
        <v>0.2</v>
      </c>
      <c r="R71" s="11">
        <v>199292.6</v>
      </c>
      <c r="S71" s="7">
        <f t="shared" si="38"/>
        <v>0.56</v>
      </c>
      <c r="T71" s="11">
        <v>4982.315</v>
      </c>
      <c r="U71" s="7">
        <f t="shared" si="39"/>
        <v>0.56</v>
      </c>
      <c r="V71" s="11">
        <f t="shared" si="28"/>
        <v>5.09718373888443</v>
      </c>
      <c r="W71" s="7">
        <f t="shared" si="40"/>
        <v>0.14</v>
      </c>
      <c r="X71" s="11">
        <v>10</v>
      </c>
      <c r="Y71" s="7">
        <v>0</v>
      </c>
      <c r="Z71" s="11">
        <v>50.7167235494881</v>
      </c>
      <c r="AA71" s="7">
        <f t="shared" si="41"/>
        <v>0.45</v>
      </c>
      <c r="AB71" s="12">
        <f t="shared" si="29"/>
        <v>25.4859186944222</v>
      </c>
      <c r="AC71" s="13">
        <f t="shared" si="42"/>
        <v>0.14</v>
      </c>
    </row>
    <row r="72" spans="1:29">
      <c r="A72" s="14">
        <v>45657</v>
      </c>
      <c r="B72" s="15">
        <v>306000</v>
      </c>
      <c r="C72" s="7">
        <f t="shared" si="30"/>
        <v>0.5</v>
      </c>
      <c r="D72" s="16">
        <v>136</v>
      </c>
      <c r="E72" s="7">
        <f t="shared" si="31"/>
        <v>0.21</v>
      </c>
      <c r="F72" s="17">
        <v>269</v>
      </c>
      <c r="G72" s="7">
        <f t="shared" si="32"/>
        <v>0.18</v>
      </c>
      <c r="H72" s="17">
        <v>196</v>
      </c>
      <c r="I72" s="18">
        <f t="shared" si="33"/>
        <v>0.44</v>
      </c>
      <c r="J72" s="19">
        <v>28.4</v>
      </c>
      <c r="K72" s="18">
        <f t="shared" si="34"/>
        <v>0.49</v>
      </c>
      <c r="L72" s="20">
        <v>5.14</v>
      </c>
      <c r="M72" s="7">
        <f t="shared" si="35"/>
        <v>0.18</v>
      </c>
      <c r="N72" s="19">
        <v>37.8</v>
      </c>
      <c r="O72" s="7">
        <f t="shared" si="36"/>
        <v>0.21</v>
      </c>
      <c r="P72" s="21">
        <v>17</v>
      </c>
      <c r="Q72" s="7">
        <f t="shared" si="37"/>
        <v>0.19</v>
      </c>
      <c r="R72" s="11">
        <v>209555.3</v>
      </c>
      <c r="S72" s="7">
        <f t="shared" si="38"/>
        <v>0.61</v>
      </c>
      <c r="T72" s="11">
        <v>5238.8825</v>
      </c>
      <c r="U72" s="7">
        <f t="shared" si="39"/>
        <v>0.61</v>
      </c>
      <c r="V72" s="11">
        <f t="shared" si="28"/>
        <v>3.92803236186343</v>
      </c>
      <c r="W72" s="7">
        <f t="shared" si="40"/>
        <v>0.08</v>
      </c>
      <c r="X72" s="11">
        <v>10</v>
      </c>
      <c r="Y72" s="7">
        <v>0</v>
      </c>
      <c r="Z72" s="11">
        <v>49.814126394052</v>
      </c>
      <c r="AA72" s="7">
        <f t="shared" si="41"/>
        <v>0.44</v>
      </c>
      <c r="AB72" s="12">
        <f t="shared" si="29"/>
        <v>19.6401618093172</v>
      </c>
      <c r="AC72" s="13">
        <f t="shared" si="42"/>
        <v>0.08</v>
      </c>
    </row>
    <row r="73" spans="1:29">
      <c r="A73" s="14">
        <v>45658</v>
      </c>
      <c r="B73" s="15">
        <v>321700</v>
      </c>
      <c r="C73" s="7">
        <f t="shared" si="30"/>
        <v>0.57</v>
      </c>
      <c r="D73" s="16">
        <v>154</v>
      </c>
      <c r="E73" s="7">
        <f t="shared" si="31"/>
        <v>0.27</v>
      </c>
      <c r="F73" s="17">
        <v>264</v>
      </c>
      <c r="G73" s="7">
        <f t="shared" si="32"/>
        <v>0.17</v>
      </c>
      <c r="H73" s="17">
        <v>140</v>
      </c>
      <c r="I73" s="18">
        <f t="shared" si="33"/>
        <v>0.31</v>
      </c>
      <c r="J73" s="19">
        <v>27.4</v>
      </c>
      <c r="K73" s="18">
        <f t="shared" si="34"/>
        <v>0.45</v>
      </c>
      <c r="L73" s="20">
        <v>5.3</v>
      </c>
      <c r="M73" s="7">
        <f t="shared" si="35"/>
        <v>0.19</v>
      </c>
      <c r="N73" s="19">
        <v>38.4</v>
      </c>
      <c r="O73" s="7">
        <f t="shared" si="36"/>
        <v>0.22</v>
      </c>
      <c r="P73" s="21">
        <v>16.9</v>
      </c>
      <c r="Q73" s="7">
        <f t="shared" si="37"/>
        <v>0.19</v>
      </c>
      <c r="R73" s="11">
        <v>177400.955740246</v>
      </c>
      <c r="S73" s="7">
        <f t="shared" si="38"/>
        <v>0.46</v>
      </c>
      <c r="T73" s="11">
        <v>4435.02389350615</v>
      </c>
      <c r="U73" s="7">
        <f t="shared" si="39"/>
        <v>0.46</v>
      </c>
      <c r="V73" s="11">
        <f t="shared" si="28"/>
        <v>4.78739247179448</v>
      </c>
      <c r="W73" s="7">
        <f t="shared" si="40"/>
        <v>0.13</v>
      </c>
      <c r="X73" s="11">
        <v>10</v>
      </c>
      <c r="Y73" s="7">
        <v>0</v>
      </c>
      <c r="Z73" s="11">
        <v>57.8787878787879</v>
      </c>
      <c r="AA73" s="7">
        <f t="shared" si="41"/>
        <v>0.54</v>
      </c>
      <c r="AB73" s="12">
        <f t="shared" si="29"/>
        <v>23.9369623589724</v>
      </c>
      <c r="AC73" s="13">
        <f t="shared" si="42"/>
        <v>0.13</v>
      </c>
    </row>
    <row r="74" spans="1:29">
      <c r="A74" s="14">
        <v>45659</v>
      </c>
      <c r="B74" s="15">
        <v>331000</v>
      </c>
      <c r="C74" s="7">
        <f t="shared" si="30"/>
        <v>0.61</v>
      </c>
      <c r="D74" s="16">
        <v>199</v>
      </c>
      <c r="E74" s="7">
        <f t="shared" si="31"/>
        <v>0.43</v>
      </c>
      <c r="F74" s="17">
        <v>338</v>
      </c>
      <c r="G74" s="7">
        <f t="shared" si="32"/>
        <v>0.3</v>
      </c>
      <c r="H74" s="17">
        <v>220</v>
      </c>
      <c r="I74" s="18">
        <f t="shared" si="33"/>
        <v>0.5</v>
      </c>
      <c r="J74" s="19">
        <v>33</v>
      </c>
      <c r="K74" s="18">
        <f t="shared" si="34"/>
        <v>0.71</v>
      </c>
      <c r="L74" s="20">
        <v>4.72</v>
      </c>
      <c r="M74" s="7">
        <f t="shared" si="35"/>
        <v>0.16</v>
      </c>
      <c r="N74" s="19">
        <v>40</v>
      </c>
      <c r="O74" s="7">
        <f t="shared" si="36"/>
        <v>0.25</v>
      </c>
      <c r="P74" s="21">
        <v>16.8</v>
      </c>
      <c r="Q74" s="7">
        <f t="shared" si="37"/>
        <v>0.18</v>
      </c>
      <c r="R74" s="11">
        <v>136996.733534489</v>
      </c>
      <c r="S74" s="7">
        <f t="shared" si="38"/>
        <v>0.27</v>
      </c>
      <c r="T74" s="11">
        <v>3424.91833836222</v>
      </c>
      <c r="U74" s="7">
        <f t="shared" si="39"/>
        <v>0.27</v>
      </c>
      <c r="V74" s="11">
        <f t="shared" si="28"/>
        <v>8.1664720839373</v>
      </c>
      <c r="W74" s="7">
        <f t="shared" si="40"/>
        <v>0.3</v>
      </c>
      <c r="X74" s="11">
        <v>10</v>
      </c>
      <c r="Y74" s="7">
        <v>0</v>
      </c>
      <c r="Z74" s="11">
        <v>58.0473372781065</v>
      </c>
      <c r="AA74" s="7">
        <f t="shared" si="41"/>
        <v>0.54</v>
      </c>
      <c r="AB74" s="12">
        <f t="shared" si="29"/>
        <v>40.8323604196865</v>
      </c>
      <c r="AC74" s="13">
        <f t="shared" si="42"/>
        <v>0.3</v>
      </c>
    </row>
    <row r="75" spans="1:29">
      <c r="A75" s="14">
        <v>45660</v>
      </c>
      <c r="B75" s="15">
        <v>328300</v>
      </c>
      <c r="C75" s="7">
        <f t="shared" si="30"/>
        <v>0.6</v>
      </c>
      <c r="D75" s="16">
        <v>192</v>
      </c>
      <c r="E75" s="7">
        <f t="shared" si="31"/>
        <v>0.4</v>
      </c>
      <c r="F75" s="17">
        <v>281</v>
      </c>
      <c r="G75" s="7">
        <f t="shared" si="32"/>
        <v>0.2</v>
      </c>
      <c r="H75" s="17">
        <v>152</v>
      </c>
      <c r="I75" s="18">
        <f t="shared" si="33"/>
        <v>0.34</v>
      </c>
      <c r="J75" s="19">
        <v>38.1</v>
      </c>
      <c r="K75" s="18">
        <f t="shared" si="34"/>
        <v>0.94</v>
      </c>
      <c r="L75" s="20">
        <v>4.64</v>
      </c>
      <c r="M75" s="7">
        <f t="shared" si="35"/>
        <v>0.15</v>
      </c>
      <c r="N75" s="19">
        <v>40.6</v>
      </c>
      <c r="O75" s="7">
        <f t="shared" si="36"/>
        <v>0.27</v>
      </c>
      <c r="P75" s="21">
        <v>16.7</v>
      </c>
      <c r="Q75" s="7">
        <f t="shared" si="37"/>
        <v>0.17</v>
      </c>
      <c r="R75" s="11">
        <v>145403.294092976</v>
      </c>
      <c r="S75" s="7">
        <f t="shared" si="38"/>
        <v>0.31</v>
      </c>
      <c r="T75" s="11">
        <v>3635.08235232441</v>
      </c>
      <c r="U75" s="7">
        <f t="shared" si="39"/>
        <v>0.31</v>
      </c>
      <c r="V75" s="11">
        <f t="shared" si="28"/>
        <v>6.34458115790763</v>
      </c>
      <c r="W75" s="7">
        <f t="shared" si="40"/>
        <v>0.21</v>
      </c>
      <c r="X75" s="11">
        <v>10</v>
      </c>
      <c r="Y75" s="7">
        <v>0</v>
      </c>
      <c r="Z75" s="11">
        <v>67.5800711743772</v>
      </c>
      <c r="AA75" s="7">
        <f t="shared" si="41"/>
        <v>0.66</v>
      </c>
      <c r="AB75" s="12">
        <f t="shared" si="29"/>
        <v>31.7229057895382</v>
      </c>
      <c r="AC75" s="13">
        <f t="shared" si="42"/>
        <v>0.21</v>
      </c>
    </row>
    <row r="76" spans="1:29">
      <c r="A76" s="14">
        <v>45661</v>
      </c>
      <c r="B76" s="15">
        <v>332400</v>
      </c>
      <c r="C76" s="7">
        <f t="shared" si="30"/>
        <v>0.62</v>
      </c>
      <c r="D76" s="16">
        <v>142</v>
      </c>
      <c r="E76" s="7">
        <f t="shared" si="31"/>
        <v>0.23</v>
      </c>
      <c r="F76" s="17">
        <v>248</v>
      </c>
      <c r="G76" s="7">
        <f t="shared" si="32"/>
        <v>0.14</v>
      </c>
      <c r="H76" s="17">
        <v>108</v>
      </c>
      <c r="I76" s="18">
        <f t="shared" si="33"/>
        <v>0.23</v>
      </c>
      <c r="J76" s="19">
        <v>34.8</v>
      </c>
      <c r="K76" s="18">
        <f t="shared" si="34"/>
        <v>0.79</v>
      </c>
      <c r="L76" s="20">
        <v>4.76</v>
      </c>
      <c r="M76" s="7">
        <f t="shared" si="35"/>
        <v>0.16</v>
      </c>
      <c r="N76" s="19">
        <v>40.8</v>
      </c>
      <c r="O76" s="7">
        <f t="shared" si="36"/>
        <v>0.27</v>
      </c>
      <c r="P76" s="21">
        <v>16.7</v>
      </c>
      <c r="Q76" s="7">
        <f t="shared" si="37"/>
        <v>0.17</v>
      </c>
      <c r="R76" s="11">
        <v>169030.761609508</v>
      </c>
      <c r="S76" s="7">
        <f t="shared" si="38"/>
        <v>0.42</v>
      </c>
      <c r="T76" s="11">
        <v>4225.7690402377</v>
      </c>
      <c r="U76" s="7">
        <f t="shared" si="39"/>
        <v>0.42</v>
      </c>
      <c r="V76" s="11">
        <f t="shared" si="28"/>
        <v>4.87693477891559</v>
      </c>
      <c r="W76" s="7">
        <f t="shared" si="40"/>
        <v>0.13</v>
      </c>
      <c r="X76" s="11">
        <v>10</v>
      </c>
      <c r="Y76" s="7">
        <v>0</v>
      </c>
      <c r="Z76" s="11">
        <v>56.7338709677419</v>
      </c>
      <c r="AA76" s="7">
        <f t="shared" si="41"/>
        <v>0.53</v>
      </c>
      <c r="AB76" s="12">
        <f t="shared" si="29"/>
        <v>24.384673894578</v>
      </c>
      <c r="AC76" s="13">
        <f t="shared" si="42"/>
        <v>0.13</v>
      </c>
    </row>
    <row r="77" spans="1:29">
      <c r="A77" s="14">
        <v>45662</v>
      </c>
      <c r="B77" s="15">
        <v>323300</v>
      </c>
      <c r="C77" s="7">
        <f t="shared" si="30"/>
        <v>0.58</v>
      </c>
      <c r="D77" s="16">
        <v>222</v>
      </c>
      <c r="E77" s="7">
        <f t="shared" si="31"/>
        <v>0.51</v>
      </c>
      <c r="F77" s="17">
        <v>440</v>
      </c>
      <c r="G77" s="7">
        <f t="shared" si="32"/>
        <v>0.48</v>
      </c>
      <c r="H77" s="17">
        <v>244</v>
      </c>
      <c r="I77" s="18">
        <f t="shared" si="33"/>
        <v>0.56</v>
      </c>
      <c r="J77" s="19">
        <v>33.2</v>
      </c>
      <c r="K77" s="18">
        <f t="shared" si="34"/>
        <v>0.71</v>
      </c>
      <c r="L77" s="20">
        <v>5.8</v>
      </c>
      <c r="M77" s="7">
        <f t="shared" si="35"/>
        <v>0.22</v>
      </c>
      <c r="N77" s="19">
        <v>40.2</v>
      </c>
      <c r="O77" s="7">
        <f t="shared" si="36"/>
        <v>0.26</v>
      </c>
      <c r="P77" s="21">
        <v>16.7</v>
      </c>
      <c r="Q77" s="7">
        <f t="shared" si="37"/>
        <v>0.17</v>
      </c>
      <c r="R77" s="11">
        <v>125264.343719585</v>
      </c>
      <c r="S77" s="7">
        <f t="shared" si="38"/>
        <v>0.21</v>
      </c>
      <c r="T77" s="11">
        <v>3131.60859298964</v>
      </c>
      <c r="U77" s="7">
        <f t="shared" si="39"/>
        <v>0.21</v>
      </c>
      <c r="V77" s="11">
        <f t="shared" si="28"/>
        <v>11.3561445959788</v>
      </c>
      <c r="W77" s="7">
        <f t="shared" si="40"/>
        <v>0.46</v>
      </c>
      <c r="X77" s="11">
        <v>10</v>
      </c>
      <c r="Y77" s="7">
        <v>0</v>
      </c>
      <c r="Z77" s="11">
        <v>50.1590909090909</v>
      </c>
      <c r="AA77" s="7">
        <f t="shared" si="41"/>
        <v>0.44</v>
      </c>
      <c r="AB77" s="12">
        <f t="shared" si="29"/>
        <v>56.7807229798939</v>
      </c>
      <c r="AC77" s="13">
        <f t="shared" si="42"/>
        <v>0.46</v>
      </c>
    </row>
    <row r="78" spans="1:29">
      <c r="A78" s="14">
        <v>45663</v>
      </c>
      <c r="B78" s="15">
        <v>337200</v>
      </c>
      <c r="C78" s="7">
        <f t="shared" si="30"/>
        <v>0.64</v>
      </c>
      <c r="D78" s="16">
        <v>184</v>
      </c>
      <c r="E78" s="7">
        <f t="shared" si="31"/>
        <v>0.38</v>
      </c>
      <c r="F78" s="17">
        <v>379</v>
      </c>
      <c r="G78" s="7">
        <f t="shared" si="32"/>
        <v>0.37</v>
      </c>
      <c r="H78" s="17">
        <v>168</v>
      </c>
      <c r="I78" s="18">
        <f t="shared" si="33"/>
        <v>0.38</v>
      </c>
      <c r="J78" s="19">
        <v>30.7</v>
      </c>
      <c r="K78" s="18">
        <f t="shared" si="34"/>
        <v>0.6</v>
      </c>
      <c r="L78" s="20">
        <v>5.76</v>
      </c>
      <c r="M78" s="7">
        <f t="shared" si="35"/>
        <v>0.22</v>
      </c>
      <c r="N78" s="19">
        <v>40.2</v>
      </c>
      <c r="O78" s="7">
        <f t="shared" si="36"/>
        <v>0.26</v>
      </c>
      <c r="P78" s="21">
        <v>16.7</v>
      </c>
      <c r="Q78" s="7">
        <f t="shared" si="37"/>
        <v>0.17</v>
      </c>
      <c r="R78" s="11">
        <v>137827.254510302</v>
      </c>
      <c r="S78" s="7">
        <f t="shared" si="38"/>
        <v>0.27</v>
      </c>
      <c r="T78" s="11">
        <v>3445.68136275756</v>
      </c>
      <c r="U78" s="7">
        <f t="shared" si="39"/>
        <v>0.27</v>
      </c>
      <c r="V78" s="11">
        <f t="shared" si="28"/>
        <v>9.27238959043817</v>
      </c>
      <c r="W78" s="7">
        <f t="shared" si="40"/>
        <v>0.35</v>
      </c>
      <c r="X78" s="11">
        <v>10</v>
      </c>
      <c r="Y78" s="7">
        <v>0</v>
      </c>
      <c r="Z78" s="11">
        <v>48.179419525066</v>
      </c>
      <c r="AA78" s="7">
        <f t="shared" si="41"/>
        <v>0.42</v>
      </c>
      <c r="AB78" s="12">
        <f t="shared" si="29"/>
        <v>46.3619479521908</v>
      </c>
      <c r="AC78" s="13">
        <f t="shared" si="42"/>
        <v>0.35</v>
      </c>
    </row>
    <row r="79" spans="1:29">
      <c r="A79" s="14">
        <v>45664</v>
      </c>
      <c r="B79" s="15">
        <v>322200</v>
      </c>
      <c r="C79" s="7">
        <f t="shared" si="30"/>
        <v>0.57</v>
      </c>
      <c r="D79" s="16">
        <v>159</v>
      </c>
      <c r="E79" s="7">
        <f t="shared" si="31"/>
        <v>0.29</v>
      </c>
      <c r="F79" s="17">
        <v>375</v>
      </c>
      <c r="G79" s="7">
        <f t="shared" si="32"/>
        <v>0.37</v>
      </c>
      <c r="H79" s="17">
        <v>200</v>
      </c>
      <c r="I79" s="18">
        <f t="shared" si="33"/>
        <v>0.45</v>
      </c>
      <c r="J79" s="19">
        <v>31.2</v>
      </c>
      <c r="K79" s="18">
        <f t="shared" si="34"/>
        <v>0.62</v>
      </c>
      <c r="L79" s="20">
        <v>5.28</v>
      </c>
      <c r="M79" s="7">
        <f t="shared" si="35"/>
        <v>0.19</v>
      </c>
      <c r="N79" s="19">
        <v>39.7</v>
      </c>
      <c r="O79" s="7">
        <f t="shared" si="36"/>
        <v>0.25</v>
      </c>
      <c r="P79" s="21">
        <v>16.8</v>
      </c>
      <c r="Q79" s="7">
        <f t="shared" si="37"/>
        <v>0.18</v>
      </c>
      <c r="R79" s="11">
        <v>95651.8825667546</v>
      </c>
      <c r="S79" s="7">
        <f t="shared" si="38"/>
        <v>0.07</v>
      </c>
      <c r="T79" s="11">
        <v>2391.29706416887</v>
      </c>
      <c r="U79" s="7">
        <f t="shared" si="39"/>
        <v>0.07</v>
      </c>
      <c r="V79" s="11">
        <f t="shared" si="28"/>
        <v>12.6317430203924</v>
      </c>
      <c r="W79" s="7">
        <f t="shared" si="40"/>
        <v>0.53</v>
      </c>
      <c r="X79" s="11">
        <v>10</v>
      </c>
      <c r="Y79" s="7">
        <v>0</v>
      </c>
      <c r="Z79" s="11">
        <v>42.0266666666667</v>
      </c>
      <c r="AA79" s="7">
        <f t="shared" si="41"/>
        <v>0.34</v>
      </c>
      <c r="AB79" s="12">
        <f t="shared" si="29"/>
        <v>63.1587151019621</v>
      </c>
      <c r="AC79" s="13">
        <f t="shared" si="42"/>
        <v>0.53</v>
      </c>
    </row>
    <row r="80" spans="1:29">
      <c r="A80" s="14">
        <v>45665</v>
      </c>
      <c r="B80" s="15">
        <v>299200</v>
      </c>
      <c r="C80" s="7">
        <f t="shared" si="30"/>
        <v>0.47</v>
      </c>
      <c r="D80" s="16">
        <v>118</v>
      </c>
      <c r="E80" s="7">
        <f t="shared" si="31"/>
        <v>0.15</v>
      </c>
      <c r="F80" s="17">
        <v>252</v>
      </c>
      <c r="G80" s="7">
        <f t="shared" si="32"/>
        <v>0.15</v>
      </c>
      <c r="H80" s="17">
        <v>144</v>
      </c>
      <c r="I80" s="18">
        <f t="shared" si="33"/>
        <v>0.32</v>
      </c>
      <c r="J80" s="19">
        <v>33.3</v>
      </c>
      <c r="K80" s="18">
        <f t="shared" si="34"/>
        <v>0.72</v>
      </c>
      <c r="L80" s="20">
        <v>4.74</v>
      </c>
      <c r="M80" s="7">
        <f t="shared" si="35"/>
        <v>0.16</v>
      </c>
      <c r="N80" s="19">
        <v>39.3</v>
      </c>
      <c r="O80" s="7">
        <f t="shared" si="36"/>
        <v>0.24</v>
      </c>
      <c r="P80" s="21">
        <v>16.7</v>
      </c>
      <c r="Q80" s="7">
        <f t="shared" si="37"/>
        <v>0.17</v>
      </c>
      <c r="R80" s="11">
        <v>84726.9475687531</v>
      </c>
      <c r="S80" s="7">
        <f t="shared" si="38"/>
        <v>0.02</v>
      </c>
      <c r="T80" s="11">
        <v>2118.17368921883</v>
      </c>
      <c r="U80" s="7">
        <f t="shared" si="39"/>
        <v>0.02</v>
      </c>
      <c r="V80" s="11">
        <f t="shared" si="28"/>
        <v>8.8989869414116</v>
      </c>
      <c r="W80" s="7">
        <f t="shared" si="40"/>
        <v>0.34</v>
      </c>
      <c r="X80" s="11">
        <v>10</v>
      </c>
      <c r="Y80" s="7">
        <v>0</v>
      </c>
      <c r="Z80" s="11">
        <v>46.3095238095238</v>
      </c>
      <c r="AA80" s="7">
        <f t="shared" si="41"/>
        <v>0.39</v>
      </c>
      <c r="AB80" s="12">
        <f t="shared" si="29"/>
        <v>44.494934707058</v>
      </c>
      <c r="AC80" s="13">
        <f t="shared" si="42"/>
        <v>0.34</v>
      </c>
    </row>
    <row r="81" spans="1:29">
      <c r="A81" s="14">
        <v>45666</v>
      </c>
      <c r="B81" s="15">
        <v>301400</v>
      </c>
      <c r="C81" s="7">
        <f t="shared" si="30"/>
        <v>0.48</v>
      </c>
      <c r="D81" s="16">
        <v>124</v>
      </c>
      <c r="E81" s="7">
        <f t="shared" si="31"/>
        <v>0.17</v>
      </c>
      <c r="F81" s="17">
        <v>260</v>
      </c>
      <c r="G81" s="7">
        <f t="shared" si="32"/>
        <v>0.17</v>
      </c>
      <c r="H81" s="17">
        <v>136</v>
      </c>
      <c r="I81" s="18">
        <f t="shared" si="33"/>
        <v>0.3</v>
      </c>
      <c r="J81" s="19">
        <v>22.5</v>
      </c>
      <c r="K81" s="18">
        <f t="shared" si="34"/>
        <v>0.22</v>
      </c>
      <c r="L81" s="20">
        <v>2.94</v>
      </c>
      <c r="M81" s="7">
        <f t="shared" si="35"/>
        <v>0.06</v>
      </c>
      <c r="N81" s="19">
        <v>33.8</v>
      </c>
      <c r="O81" s="7">
        <f t="shared" si="36"/>
        <v>0.14</v>
      </c>
      <c r="P81" s="21">
        <v>16.6</v>
      </c>
      <c r="Q81" s="7">
        <f t="shared" si="37"/>
        <v>0.16</v>
      </c>
      <c r="R81" s="11">
        <v>145756.034603948</v>
      </c>
      <c r="S81" s="7">
        <f t="shared" si="38"/>
        <v>0.31</v>
      </c>
      <c r="T81" s="11">
        <v>3643.9008650987</v>
      </c>
      <c r="U81" s="7">
        <f t="shared" si="39"/>
        <v>0.31</v>
      </c>
      <c r="V81" s="11">
        <f t="shared" si="28"/>
        <v>5.37638117097056</v>
      </c>
      <c r="W81" s="7">
        <f t="shared" si="40"/>
        <v>0.16</v>
      </c>
      <c r="X81" s="11">
        <v>10</v>
      </c>
      <c r="Y81" s="7">
        <v>0</v>
      </c>
      <c r="Z81" s="11">
        <v>46.6923076923077</v>
      </c>
      <c r="AA81" s="7">
        <f t="shared" si="41"/>
        <v>0.4</v>
      </c>
      <c r="AB81" s="12">
        <f t="shared" si="29"/>
        <v>26.8819058548528</v>
      </c>
      <c r="AC81" s="13">
        <f t="shared" si="42"/>
        <v>0.16</v>
      </c>
    </row>
    <row r="82" spans="1:29">
      <c r="A82" s="14">
        <v>45668</v>
      </c>
      <c r="B82" s="15">
        <v>269800</v>
      </c>
      <c r="C82" s="7">
        <f t="shared" si="30"/>
        <v>0.34</v>
      </c>
      <c r="D82" s="16">
        <v>106</v>
      </c>
      <c r="E82" s="7">
        <f t="shared" si="31"/>
        <v>0.11</v>
      </c>
      <c r="F82" s="17">
        <v>205</v>
      </c>
      <c r="G82" s="7">
        <f t="shared" si="32"/>
        <v>0.07</v>
      </c>
      <c r="H82" s="17">
        <v>92</v>
      </c>
      <c r="I82" s="18">
        <f t="shared" si="33"/>
        <v>0.19</v>
      </c>
      <c r="J82" s="19">
        <v>26.7</v>
      </c>
      <c r="K82" s="18">
        <f t="shared" si="34"/>
        <v>0.41</v>
      </c>
      <c r="L82" s="20">
        <v>2.72</v>
      </c>
      <c r="M82" s="7">
        <f t="shared" si="35"/>
        <v>0.04</v>
      </c>
      <c r="N82" s="19">
        <v>33.2</v>
      </c>
      <c r="O82" s="7">
        <f t="shared" si="36"/>
        <v>0.12</v>
      </c>
      <c r="P82" s="21">
        <v>16.5</v>
      </c>
      <c r="Q82" s="7">
        <f t="shared" si="37"/>
        <v>0.15</v>
      </c>
      <c r="R82" s="11">
        <v>121736.796268905</v>
      </c>
      <c r="S82" s="7">
        <f t="shared" si="38"/>
        <v>0.2</v>
      </c>
      <c r="T82" s="11">
        <v>3043.41990672263</v>
      </c>
      <c r="U82" s="7">
        <f t="shared" si="39"/>
        <v>0.2</v>
      </c>
      <c r="V82" s="11">
        <f t="shared" si="28"/>
        <v>4.5433263972076</v>
      </c>
      <c r="W82" s="7">
        <f t="shared" si="40"/>
        <v>0.11</v>
      </c>
      <c r="X82" s="11">
        <v>10</v>
      </c>
      <c r="Y82" s="7">
        <v>0</v>
      </c>
      <c r="Z82" s="11">
        <v>51.1219512195122</v>
      </c>
      <c r="AA82" s="7">
        <f t="shared" si="41"/>
        <v>0.46</v>
      </c>
      <c r="AB82" s="12">
        <f t="shared" si="29"/>
        <v>22.716631986038</v>
      </c>
      <c r="AC82" s="13">
        <f t="shared" si="42"/>
        <v>0.11</v>
      </c>
    </row>
    <row r="83" spans="1:29">
      <c r="A83" s="14">
        <v>45669</v>
      </c>
      <c r="B83" s="15">
        <v>284800</v>
      </c>
      <c r="C83" s="7">
        <f t="shared" si="30"/>
        <v>0.41</v>
      </c>
      <c r="D83" s="16">
        <v>98.7</v>
      </c>
      <c r="E83" s="7">
        <f t="shared" si="31"/>
        <v>0.09</v>
      </c>
      <c r="F83" s="17">
        <v>650</v>
      </c>
      <c r="G83" s="7">
        <f t="shared" si="32"/>
        <v>0.84</v>
      </c>
      <c r="H83" s="17">
        <v>428</v>
      </c>
      <c r="I83" s="18">
        <f t="shared" si="33"/>
        <v>1</v>
      </c>
      <c r="J83" s="19">
        <v>30.8</v>
      </c>
      <c r="K83" s="18">
        <f t="shared" si="34"/>
        <v>0.6</v>
      </c>
      <c r="L83" s="20">
        <v>9.44</v>
      </c>
      <c r="M83" s="7">
        <f t="shared" si="35"/>
        <v>0.42</v>
      </c>
      <c r="N83" s="19">
        <v>48</v>
      </c>
      <c r="O83" s="7">
        <f t="shared" si="36"/>
        <v>0.41</v>
      </c>
      <c r="P83" s="21">
        <v>16.3</v>
      </c>
      <c r="Q83" s="7">
        <f t="shared" si="37"/>
        <v>0.14</v>
      </c>
      <c r="R83" s="11">
        <v>162126.337010036</v>
      </c>
      <c r="S83" s="7">
        <f t="shared" si="38"/>
        <v>0.39</v>
      </c>
      <c r="T83" s="11">
        <v>4053.1584252509</v>
      </c>
      <c r="U83" s="7">
        <f t="shared" si="39"/>
        <v>0.39</v>
      </c>
      <c r="V83" s="11">
        <f t="shared" si="28"/>
        <v>11.418255874648</v>
      </c>
      <c r="W83" s="7">
        <f t="shared" si="40"/>
        <v>0.46</v>
      </c>
      <c r="X83" s="11">
        <v>10</v>
      </c>
      <c r="Y83" s="7">
        <v>0</v>
      </c>
      <c r="Z83" s="11">
        <v>14.9076923076923</v>
      </c>
      <c r="AA83" s="7">
        <f t="shared" si="41"/>
        <v>0</v>
      </c>
      <c r="AB83" s="12">
        <f t="shared" si="29"/>
        <v>57.0912793732398</v>
      </c>
      <c r="AC83" s="13">
        <f t="shared" si="42"/>
        <v>0.46</v>
      </c>
    </row>
    <row r="84" spans="1:29">
      <c r="A84" s="14">
        <v>45670</v>
      </c>
      <c r="B84" s="15">
        <v>282500</v>
      </c>
      <c r="C84" s="7">
        <f t="shared" si="30"/>
        <v>0.4</v>
      </c>
      <c r="D84" s="16">
        <v>312</v>
      </c>
      <c r="E84" s="7">
        <f t="shared" si="31"/>
        <v>0.81</v>
      </c>
      <c r="F84" s="17">
        <v>713</v>
      </c>
      <c r="G84" s="7">
        <f t="shared" si="32"/>
        <v>0.95</v>
      </c>
      <c r="H84" s="17">
        <v>392</v>
      </c>
      <c r="I84" s="18">
        <f t="shared" si="33"/>
        <v>0.91</v>
      </c>
      <c r="J84" s="19">
        <v>33.8</v>
      </c>
      <c r="K84" s="18">
        <f t="shared" si="34"/>
        <v>0.74</v>
      </c>
      <c r="L84" s="20">
        <v>17.3</v>
      </c>
      <c r="M84" s="7">
        <f t="shared" si="35"/>
        <v>0.87</v>
      </c>
      <c r="N84" s="19">
        <v>79</v>
      </c>
      <c r="O84" s="7">
        <f t="shared" si="36"/>
        <v>1</v>
      </c>
      <c r="P84" s="21">
        <v>16.3</v>
      </c>
      <c r="Q84" s="7">
        <f t="shared" si="37"/>
        <v>0.14</v>
      </c>
      <c r="R84" s="11">
        <v>108194.539974648</v>
      </c>
      <c r="S84" s="7">
        <f t="shared" si="38"/>
        <v>0.13</v>
      </c>
      <c r="T84" s="11">
        <v>2704.8634993662</v>
      </c>
      <c r="U84" s="7">
        <f t="shared" si="39"/>
        <v>0.13</v>
      </c>
      <c r="V84" s="11">
        <f t="shared" si="28"/>
        <v>18.6166972979595</v>
      </c>
      <c r="W84" s="7">
        <f t="shared" si="40"/>
        <v>0.83</v>
      </c>
      <c r="X84" s="11">
        <v>10</v>
      </c>
      <c r="Y84" s="7">
        <v>0</v>
      </c>
      <c r="Z84" s="11">
        <v>43.5343618513324</v>
      </c>
      <c r="AA84" s="7">
        <f t="shared" si="41"/>
        <v>0.36</v>
      </c>
      <c r="AB84" s="12">
        <f t="shared" si="29"/>
        <v>93.0834864897975</v>
      </c>
      <c r="AC84" s="13">
        <f t="shared" si="42"/>
        <v>0.83</v>
      </c>
    </row>
    <row r="85" spans="1:29">
      <c r="A85" s="14">
        <v>45671</v>
      </c>
      <c r="B85" s="15">
        <v>262100</v>
      </c>
      <c r="C85" s="7">
        <f t="shared" si="30"/>
        <v>0.3</v>
      </c>
      <c r="D85" s="16">
        <v>298</v>
      </c>
      <c r="E85" s="7">
        <f t="shared" si="31"/>
        <v>0.76</v>
      </c>
      <c r="F85" s="17">
        <v>681</v>
      </c>
      <c r="G85" s="7">
        <f t="shared" si="32"/>
        <v>0.9</v>
      </c>
      <c r="H85" s="17">
        <v>408</v>
      </c>
      <c r="I85" s="18">
        <f t="shared" si="33"/>
        <v>0.95</v>
      </c>
      <c r="J85" s="19">
        <v>31.9</v>
      </c>
      <c r="K85" s="18">
        <f t="shared" si="34"/>
        <v>0.65</v>
      </c>
      <c r="L85" s="20">
        <v>12.1</v>
      </c>
      <c r="M85" s="7">
        <f t="shared" si="35"/>
        <v>0.57</v>
      </c>
      <c r="N85" s="19">
        <v>51.6</v>
      </c>
      <c r="O85" s="7">
        <f t="shared" si="36"/>
        <v>0.48</v>
      </c>
      <c r="P85" s="21">
        <v>16.2</v>
      </c>
      <c r="Q85" s="7">
        <f t="shared" si="37"/>
        <v>0.13</v>
      </c>
      <c r="R85" s="11">
        <v>97964.2699472708</v>
      </c>
      <c r="S85" s="7">
        <f t="shared" si="38"/>
        <v>0.08</v>
      </c>
      <c r="T85" s="11">
        <v>2449.10674868177</v>
      </c>
      <c r="U85" s="7">
        <f t="shared" si="39"/>
        <v>0.08</v>
      </c>
      <c r="V85" s="11">
        <f t="shared" si="28"/>
        <v>18.219918353505</v>
      </c>
      <c r="W85" s="7">
        <f t="shared" si="40"/>
        <v>0.81</v>
      </c>
      <c r="X85" s="11">
        <v>10</v>
      </c>
      <c r="Y85" s="7">
        <v>0</v>
      </c>
      <c r="Z85" s="11">
        <v>43.4654919236417</v>
      </c>
      <c r="AA85" s="7">
        <f t="shared" si="41"/>
        <v>0.36</v>
      </c>
      <c r="AB85" s="12">
        <f t="shared" si="29"/>
        <v>91.0995917675251</v>
      </c>
      <c r="AC85" s="13">
        <f t="shared" si="42"/>
        <v>0.81</v>
      </c>
    </row>
    <row r="86" spans="1:29">
      <c r="A86" s="14">
        <v>45672</v>
      </c>
      <c r="B86" s="15">
        <v>241400</v>
      </c>
      <c r="C86" s="7">
        <f t="shared" si="30"/>
        <v>0.21</v>
      </c>
      <c r="D86" s="16">
        <v>259</v>
      </c>
      <c r="E86" s="7">
        <f t="shared" si="31"/>
        <v>0.63</v>
      </c>
      <c r="F86" s="17">
        <v>542</v>
      </c>
      <c r="G86" s="7">
        <f t="shared" si="32"/>
        <v>0.66</v>
      </c>
      <c r="H86" s="17">
        <v>384</v>
      </c>
      <c r="I86" s="18">
        <f t="shared" si="33"/>
        <v>0.89</v>
      </c>
      <c r="J86" s="19">
        <v>20.7</v>
      </c>
      <c r="K86" s="18">
        <f t="shared" si="34"/>
        <v>0.14</v>
      </c>
      <c r="L86" s="20">
        <v>6.18</v>
      </c>
      <c r="M86" s="7">
        <f t="shared" si="35"/>
        <v>0.24</v>
      </c>
      <c r="N86" s="19">
        <v>45</v>
      </c>
      <c r="O86" s="7">
        <f t="shared" si="36"/>
        <v>0.35</v>
      </c>
      <c r="P86" s="21">
        <v>16.1</v>
      </c>
      <c r="Q86" s="7">
        <f t="shared" si="37"/>
        <v>0.12</v>
      </c>
      <c r="R86" s="11">
        <v>176332.922974778</v>
      </c>
      <c r="S86" s="7">
        <f t="shared" si="38"/>
        <v>0.46</v>
      </c>
      <c r="T86" s="11">
        <v>4408.32307436946</v>
      </c>
      <c r="U86" s="7">
        <f t="shared" si="39"/>
        <v>0.46</v>
      </c>
      <c r="V86" s="11">
        <f t="shared" si="28"/>
        <v>7.41998702186286</v>
      </c>
      <c r="W86" s="7">
        <f t="shared" si="40"/>
        <v>0.26</v>
      </c>
      <c r="X86" s="11">
        <v>10</v>
      </c>
      <c r="Y86" s="7">
        <v>0</v>
      </c>
      <c r="Z86" s="11">
        <v>47.5461254612546</v>
      </c>
      <c r="AA86" s="7">
        <f t="shared" si="41"/>
        <v>0.41</v>
      </c>
      <c r="AB86" s="12">
        <f t="shared" si="29"/>
        <v>37.0999351093143</v>
      </c>
      <c r="AC86" s="13">
        <f t="shared" si="42"/>
        <v>0.26</v>
      </c>
    </row>
    <row r="87" spans="1:29">
      <c r="A87" s="14">
        <v>45673</v>
      </c>
      <c r="B87" s="15">
        <v>251100</v>
      </c>
      <c r="C87" s="7">
        <f t="shared" si="30"/>
        <v>0.25</v>
      </c>
      <c r="D87" s="16">
        <v>214</v>
      </c>
      <c r="E87" s="7">
        <f t="shared" si="31"/>
        <v>0.48</v>
      </c>
      <c r="F87" s="17">
        <v>585</v>
      </c>
      <c r="G87" s="7">
        <f t="shared" si="32"/>
        <v>0.73</v>
      </c>
      <c r="H87" s="17">
        <v>308</v>
      </c>
      <c r="I87" s="18">
        <f t="shared" si="33"/>
        <v>0.71</v>
      </c>
      <c r="J87" s="19">
        <v>29.2</v>
      </c>
      <c r="K87" s="18">
        <f t="shared" si="34"/>
        <v>0.53</v>
      </c>
      <c r="L87" s="20">
        <v>7.52</v>
      </c>
      <c r="M87" s="7">
        <f t="shared" si="35"/>
        <v>0.32</v>
      </c>
      <c r="N87" s="19">
        <v>40.1</v>
      </c>
      <c r="O87" s="7">
        <f t="shared" si="36"/>
        <v>0.26</v>
      </c>
      <c r="P87" s="21">
        <v>16.2</v>
      </c>
      <c r="Q87" s="7">
        <f t="shared" si="37"/>
        <v>0.13</v>
      </c>
      <c r="R87" s="11">
        <v>189313.930475049</v>
      </c>
      <c r="S87" s="7">
        <f t="shared" si="38"/>
        <v>0.52</v>
      </c>
      <c r="T87" s="11">
        <v>4732.84826187623</v>
      </c>
      <c r="U87" s="7">
        <f t="shared" si="39"/>
        <v>0.52</v>
      </c>
      <c r="V87" s="11">
        <f t="shared" si="28"/>
        <v>7.75925467457134</v>
      </c>
      <c r="W87" s="7">
        <f t="shared" si="40"/>
        <v>0.28</v>
      </c>
      <c r="X87" s="11">
        <v>10</v>
      </c>
      <c r="Y87" s="7">
        <v>0</v>
      </c>
      <c r="Z87" s="11">
        <v>36.2905982905983</v>
      </c>
      <c r="AA87" s="7">
        <f t="shared" si="41"/>
        <v>0.27</v>
      </c>
      <c r="AB87" s="12">
        <f t="shared" si="29"/>
        <v>38.7962733728567</v>
      </c>
      <c r="AC87" s="13">
        <f t="shared" si="42"/>
        <v>0.28</v>
      </c>
    </row>
    <row r="88" spans="1:29">
      <c r="A88" s="14">
        <v>45674</v>
      </c>
      <c r="B88" s="15">
        <v>242700</v>
      </c>
      <c r="C88" s="7">
        <f t="shared" si="30"/>
        <v>0.22</v>
      </c>
      <c r="D88" s="16">
        <v>250</v>
      </c>
      <c r="E88" s="7">
        <f t="shared" si="31"/>
        <v>0.6</v>
      </c>
      <c r="F88" s="17">
        <v>560</v>
      </c>
      <c r="G88" s="7">
        <f t="shared" si="32"/>
        <v>0.69</v>
      </c>
      <c r="H88" s="17">
        <v>288</v>
      </c>
      <c r="I88" s="18">
        <f t="shared" si="33"/>
        <v>0.66</v>
      </c>
      <c r="J88" s="19">
        <v>28.4</v>
      </c>
      <c r="K88" s="18">
        <f t="shared" si="34"/>
        <v>0.49</v>
      </c>
      <c r="L88" s="20">
        <v>6.38</v>
      </c>
      <c r="M88" s="7">
        <f t="shared" si="35"/>
        <v>0.25</v>
      </c>
      <c r="N88" s="19">
        <v>39.4</v>
      </c>
      <c r="O88" s="7">
        <f t="shared" si="36"/>
        <v>0.24</v>
      </c>
      <c r="P88" s="21">
        <v>16.1</v>
      </c>
      <c r="Q88" s="7">
        <f t="shared" si="37"/>
        <v>0.12</v>
      </c>
      <c r="R88" s="11">
        <v>161916.064400192</v>
      </c>
      <c r="S88" s="7">
        <f t="shared" si="38"/>
        <v>0.39</v>
      </c>
      <c r="T88" s="11">
        <v>4047.9016100048</v>
      </c>
      <c r="U88" s="7">
        <f t="shared" si="39"/>
        <v>0.39</v>
      </c>
      <c r="V88" s="11">
        <f t="shared" si="28"/>
        <v>8.39397872616763</v>
      </c>
      <c r="W88" s="7">
        <f t="shared" si="40"/>
        <v>0.31</v>
      </c>
      <c r="X88" s="11">
        <v>10</v>
      </c>
      <c r="Y88" s="7">
        <v>0</v>
      </c>
      <c r="Z88" s="11">
        <v>44.3571428571429</v>
      </c>
      <c r="AA88" s="7">
        <f t="shared" si="41"/>
        <v>0.37</v>
      </c>
      <c r="AB88" s="12">
        <f t="shared" si="29"/>
        <v>41.9698936308382</v>
      </c>
      <c r="AC88" s="13">
        <f t="shared" si="42"/>
        <v>0.31</v>
      </c>
    </row>
    <row r="89" spans="1:29">
      <c r="A89" s="14">
        <v>45675</v>
      </c>
      <c r="B89" s="15">
        <v>284700</v>
      </c>
      <c r="C89" s="7">
        <f t="shared" si="30"/>
        <v>0.41</v>
      </c>
      <c r="D89" s="16">
        <v>190</v>
      </c>
      <c r="E89" s="7">
        <f t="shared" si="31"/>
        <v>0.4</v>
      </c>
      <c r="F89" s="17">
        <v>358</v>
      </c>
      <c r="G89" s="7">
        <f t="shared" si="32"/>
        <v>0.34</v>
      </c>
      <c r="H89" s="17">
        <v>160</v>
      </c>
      <c r="I89" s="18">
        <f t="shared" si="33"/>
        <v>0.36</v>
      </c>
      <c r="J89" s="19">
        <v>31.6</v>
      </c>
      <c r="K89" s="18">
        <f t="shared" si="34"/>
        <v>0.64</v>
      </c>
      <c r="L89" s="20">
        <v>4.56</v>
      </c>
      <c r="M89" s="7">
        <f t="shared" si="35"/>
        <v>0.15</v>
      </c>
      <c r="N89" s="19">
        <v>38.3</v>
      </c>
      <c r="O89" s="7">
        <f t="shared" si="36"/>
        <v>0.22</v>
      </c>
      <c r="P89" s="21">
        <v>16</v>
      </c>
      <c r="Q89" s="7">
        <f t="shared" si="37"/>
        <v>0.11</v>
      </c>
      <c r="R89" s="11">
        <v>147688.327781666</v>
      </c>
      <c r="S89" s="7">
        <f t="shared" si="38"/>
        <v>0.32</v>
      </c>
      <c r="T89" s="11">
        <v>3692.20819454166</v>
      </c>
      <c r="U89" s="7">
        <f t="shared" si="39"/>
        <v>0.32</v>
      </c>
      <c r="V89" s="11">
        <f t="shared" si="28"/>
        <v>6.90119534366157</v>
      </c>
      <c r="W89" s="7">
        <f t="shared" si="40"/>
        <v>0.23</v>
      </c>
      <c r="X89" s="11">
        <v>10</v>
      </c>
      <c r="Y89" s="7">
        <v>0</v>
      </c>
      <c r="Z89" s="11">
        <v>52.6815642458101</v>
      </c>
      <c r="AA89" s="7">
        <f t="shared" si="41"/>
        <v>0.48</v>
      </c>
      <c r="AB89" s="12">
        <f t="shared" si="29"/>
        <v>34.5059767183079</v>
      </c>
      <c r="AC89" s="13">
        <f t="shared" si="42"/>
        <v>0.23</v>
      </c>
    </row>
    <row r="90" spans="1:29">
      <c r="A90" s="14">
        <v>45676</v>
      </c>
      <c r="B90" s="15">
        <v>283200</v>
      </c>
      <c r="C90" s="7">
        <f t="shared" si="30"/>
        <v>0.4</v>
      </c>
      <c r="D90" s="16">
        <v>131</v>
      </c>
      <c r="E90" s="7">
        <f t="shared" si="31"/>
        <v>0.2</v>
      </c>
      <c r="F90" s="17">
        <v>266</v>
      </c>
      <c r="G90" s="7">
        <f t="shared" si="32"/>
        <v>0.18</v>
      </c>
      <c r="H90" s="17">
        <v>124</v>
      </c>
      <c r="I90" s="18">
        <f t="shared" si="33"/>
        <v>0.27</v>
      </c>
      <c r="J90" s="19">
        <v>33.8</v>
      </c>
      <c r="K90" s="18">
        <f t="shared" si="34"/>
        <v>0.74</v>
      </c>
      <c r="L90" s="20">
        <v>4.64</v>
      </c>
      <c r="M90" s="7">
        <f t="shared" si="35"/>
        <v>0.15</v>
      </c>
      <c r="N90" s="19">
        <v>35.3</v>
      </c>
      <c r="O90" s="7">
        <f t="shared" si="36"/>
        <v>0.16</v>
      </c>
      <c r="P90" s="21">
        <v>15.9</v>
      </c>
      <c r="Q90" s="7">
        <f t="shared" si="37"/>
        <v>0.1</v>
      </c>
      <c r="R90" s="11">
        <v>143150.044158972</v>
      </c>
      <c r="S90" s="7">
        <f t="shared" si="38"/>
        <v>0.3</v>
      </c>
      <c r="T90" s="11">
        <v>3578.75110397431</v>
      </c>
      <c r="U90" s="7">
        <f t="shared" si="39"/>
        <v>0.3</v>
      </c>
      <c r="V90" s="11">
        <f t="shared" si="28"/>
        <v>5.2623944646739</v>
      </c>
      <c r="W90" s="7">
        <f t="shared" si="40"/>
        <v>0.15</v>
      </c>
      <c r="X90" s="11">
        <v>10</v>
      </c>
      <c r="Y90" s="7">
        <v>0</v>
      </c>
      <c r="Z90" s="11">
        <v>48.7593984962406</v>
      </c>
      <c r="AA90" s="7">
        <f t="shared" si="41"/>
        <v>0.43</v>
      </c>
      <c r="AB90" s="12">
        <f t="shared" si="29"/>
        <v>26.3119723233695</v>
      </c>
      <c r="AC90" s="13">
        <f t="shared" si="42"/>
        <v>0.15</v>
      </c>
    </row>
    <row r="91" spans="1:29">
      <c r="A91" s="14">
        <v>45677</v>
      </c>
      <c r="B91" s="15">
        <v>302200</v>
      </c>
      <c r="C91" s="7">
        <f t="shared" si="30"/>
        <v>0.48</v>
      </c>
      <c r="D91" s="16">
        <v>176</v>
      </c>
      <c r="E91" s="7">
        <f t="shared" si="31"/>
        <v>0.35</v>
      </c>
      <c r="F91" s="17">
        <v>309</v>
      </c>
      <c r="G91" s="7">
        <f t="shared" si="32"/>
        <v>0.25</v>
      </c>
      <c r="H91" s="17">
        <v>64</v>
      </c>
      <c r="I91" s="18">
        <f t="shared" si="33"/>
        <v>0.13</v>
      </c>
      <c r="J91" s="19">
        <v>29.2</v>
      </c>
      <c r="K91" s="18">
        <f t="shared" si="34"/>
        <v>0.53</v>
      </c>
      <c r="L91" s="20">
        <v>5.36</v>
      </c>
      <c r="M91" s="7">
        <f t="shared" si="35"/>
        <v>0.19</v>
      </c>
      <c r="N91" s="19">
        <v>35.1</v>
      </c>
      <c r="O91" s="7">
        <f t="shared" si="36"/>
        <v>0.16</v>
      </c>
      <c r="P91" s="21">
        <v>14.7</v>
      </c>
      <c r="Q91" s="7">
        <f t="shared" si="37"/>
        <v>0</v>
      </c>
      <c r="R91" s="11">
        <v>176167.980353523</v>
      </c>
      <c r="S91" s="7">
        <f t="shared" si="38"/>
        <v>0.45</v>
      </c>
      <c r="T91" s="11">
        <v>4404.19950883808</v>
      </c>
      <c r="U91" s="7">
        <f t="shared" si="39"/>
        <v>0.45</v>
      </c>
      <c r="V91" s="11">
        <f t="shared" si="28"/>
        <v>5.30061137174934</v>
      </c>
      <c r="W91" s="7">
        <f t="shared" si="40"/>
        <v>0.15</v>
      </c>
      <c r="X91" s="11">
        <v>10</v>
      </c>
      <c r="Y91" s="7">
        <v>0</v>
      </c>
      <c r="Z91" s="11">
        <v>56.4401294498382</v>
      </c>
      <c r="AA91" s="7">
        <f t="shared" si="41"/>
        <v>0.52</v>
      </c>
      <c r="AB91" s="12">
        <f t="shared" si="29"/>
        <v>26.5030568587467</v>
      </c>
      <c r="AC91" s="13">
        <f t="shared" si="42"/>
        <v>0.15</v>
      </c>
    </row>
    <row r="92" spans="1:29">
      <c r="A92" s="14">
        <v>45678</v>
      </c>
      <c r="B92" s="15">
        <v>291100</v>
      </c>
      <c r="C92" s="7">
        <f t="shared" si="30"/>
        <v>0.43</v>
      </c>
      <c r="D92" s="16">
        <v>146</v>
      </c>
      <c r="E92" s="7">
        <f t="shared" si="31"/>
        <v>0.25</v>
      </c>
      <c r="F92" s="17">
        <v>226</v>
      </c>
      <c r="G92" s="7">
        <f t="shared" si="32"/>
        <v>0.11</v>
      </c>
      <c r="H92" s="17">
        <v>80</v>
      </c>
      <c r="I92" s="18">
        <f t="shared" si="33"/>
        <v>0.16</v>
      </c>
      <c r="J92" s="19">
        <v>33</v>
      </c>
      <c r="K92" s="18">
        <f t="shared" si="34"/>
        <v>0.71</v>
      </c>
      <c r="L92" s="20">
        <v>7.73</v>
      </c>
      <c r="M92" s="7">
        <f t="shared" si="35"/>
        <v>0.33</v>
      </c>
      <c r="N92" s="19">
        <v>40.4</v>
      </c>
      <c r="O92" s="7">
        <f t="shared" si="36"/>
        <v>0.26</v>
      </c>
      <c r="P92" s="21">
        <v>14.8</v>
      </c>
      <c r="Q92" s="7">
        <f t="shared" si="37"/>
        <v>0.01</v>
      </c>
      <c r="R92" s="11">
        <v>138202.253517763</v>
      </c>
      <c r="S92" s="7">
        <f t="shared" si="38"/>
        <v>0.27</v>
      </c>
      <c r="T92" s="11">
        <v>3455.05633794408</v>
      </c>
      <c r="U92" s="7">
        <f t="shared" si="39"/>
        <v>0.27</v>
      </c>
      <c r="V92" s="11">
        <f t="shared" si="28"/>
        <v>4.76031311541126</v>
      </c>
      <c r="W92" s="7">
        <f t="shared" si="40"/>
        <v>0.13</v>
      </c>
      <c r="X92" s="11">
        <v>10</v>
      </c>
      <c r="Y92" s="7">
        <v>0</v>
      </c>
      <c r="Z92" s="11">
        <v>63.9380530973451</v>
      </c>
      <c r="AA92" s="7">
        <f t="shared" si="41"/>
        <v>0.62</v>
      </c>
      <c r="AB92" s="12">
        <f t="shared" si="29"/>
        <v>23.8015655770563</v>
      </c>
      <c r="AC92" s="13">
        <f t="shared" si="42"/>
        <v>0.13</v>
      </c>
    </row>
    <row r="93" spans="1:29">
      <c r="A93" s="14">
        <v>45679</v>
      </c>
      <c r="B93" s="15">
        <v>259300</v>
      </c>
      <c r="C93" s="7">
        <f t="shared" si="30"/>
        <v>0.29</v>
      </c>
      <c r="D93" s="16">
        <v>92.5</v>
      </c>
      <c r="E93" s="7">
        <f t="shared" si="31"/>
        <v>0.06</v>
      </c>
      <c r="F93" s="17">
        <v>194</v>
      </c>
      <c r="G93" s="7">
        <f t="shared" si="32"/>
        <v>0.05</v>
      </c>
      <c r="H93" s="17">
        <v>56</v>
      </c>
      <c r="I93" s="18">
        <f t="shared" si="33"/>
        <v>0.11</v>
      </c>
      <c r="J93" s="19">
        <v>32.6</v>
      </c>
      <c r="K93" s="18">
        <f t="shared" si="34"/>
        <v>0.69</v>
      </c>
      <c r="L93" s="20">
        <v>6.76</v>
      </c>
      <c r="M93" s="7">
        <f t="shared" si="35"/>
        <v>0.27</v>
      </c>
      <c r="N93" s="19">
        <v>48.5</v>
      </c>
      <c r="O93" s="7">
        <f t="shared" si="36"/>
        <v>0.42</v>
      </c>
      <c r="P93" s="21">
        <v>14.7</v>
      </c>
      <c r="Q93" s="7">
        <f t="shared" si="37"/>
        <v>0</v>
      </c>
      <c r="R93" s="11">
        <v>118223.031811467</v>
      </c>
      <c r="S93" s="7">
        <f t="shared" si="38"/>
        <v>0.18</v>
      </c>
      <c r="T93" s="11">
        <v>2955.57579528666</v>
      </c>
      <c r="U93" s="7">
        <f t="shared" si="39"/>
        <v>0.18</v>
      </c>
      <c r="V93" s="11">
        <f t="shared" si="28"/>
        <v>4.25502537273968</v>
      </c>
      <c r="W93" s="7">
        <f t="shared" si="40"/>
        <v>0.1</v>
      </c>
      <c r="X93" s="11">
        <v>10</v>
      </c>
      <c r="Y93" s="7">
        <v>0</v>
      </c>
      <c r="Z93" s="11">
        <v>47.0618556701031</v>
      </c>
      <c r="AA93" s="7">
        <f t="shared" si="41"/>
        <v>0.4</v>
      </c>
      <c r="AB93" s="12">
        <f t="shared" si="29"/>
        <v>21.2751268636984</v>
      </c>
      <c r="AC93" s="13">
        <f t="shared" si="42"/>
        <v>0.1</v>
      </c>
    </row>
    <row r="94" spans="1:29">
      <c r="A94" s="14">
        <v>45680</v>
      </c>
      <c r="B94" s="15">
        <v>275200</v>
      </c>
      <c r="C94" s="7">
        <f t="shared" si="30"/>
        <v>0.36</v>
      </c>
      <c r="D94" s="16">
        <v>108</v>
      </c>
      <c r="E94" s="7">
        <f t="shared" si="31"/>
        <v>0.12</v>
      </c>
      <c r="F94" s="17">
        <v>195</v>
      </c>
      <c r="G94" s="7">
        <f t="shared" si="32"/>
        <v>0.05</v>
      </c>
      <c r="H94" s="17">
        <v>68</v>
      </c>
      <c r="I94" s="18">
        <f t="shared" si="33"/>
        <v>0.13</v>
      </c>
      <c r="J94" s="19">
        <v>26.4</v>
      </c>
      <c r="K94" s="18">
        <f t="shared" si="34"/>
        <v>0.4</v>
      </c>
      <c r="L94" s="20">
        <v>4.8</v>
      </c>
      <c r="M94" s="7">
        <f t="shared" si="35"/>
        <v>0.16</v>
      </c>
      <c r="N94" s="19">
        <v>31.9</v>
      </c>
      <c r="O94" s="7">
        <f t="shared" si="36"/>
        <v>0.1</v>
      </c>
      <c r="P94" s="21">
        <v>15.2</v>
      </c>
      <c r="Q94" s="7">
        <f t="shared" si="37"/>
        <v>0.04</v>
      </c>
      <c r="R94" s="11">
        <v>103319.910374962</v>
      </c>
      <c r="S94" s="7">
        <f t="shared" si="38"/>
        <v>0.11</v>
      </c>
      <c r="T94" s="11">
        <v>2582.99775937405</v>
      </c>
      <c r="U94" s="7">
        <f t="shared" si="39"/>
        <v>0.11</v>
      </c>
      <c r="V94" s="11">
        <f t="shared" si="28"/>
        <v>5.19396501654386</v>
      </c>
      <c r="W94" s="7">
        <f t="shared" si="40"/>
        <v>0.15</v>
      </c>
      <c r="X94" s="11">
        <v>10</v>
      </c>
      <c r="Y94" s="7">
        <v>0</v>
      </c>
      <c r="Z94" s="11">
        <v>54.7179487179487</v>
      </c>
      <c r="AA94" s="7">
        <f t="shared" si="41"/>
        <v>0.5</v>
      </c>
      <c r="AB94" s="12">
        <f t="shared" si="29"/>
        <v>25.9698250827193</v>
      </c>
      <c r="AC94" s="13">
        <f t="shared" si="42"/>
        <v>0.15</v>
      </c>
    </row>
    <row r="95" spans="1:29">
      <c r="A95" s="14">
        <v>45681</v>
      </c>
      <c r="B95" s="15">
        <v>311300</v>
      </c>
      <c r="C95" s="7">
        <f t="shared" si="30"/>
        <v>0.52</v>
      </c>
      <c r="D95" s="16">
        <v>93.7</v>
      </c>
      <c r="E95" s="7">
        <f t="shared" si="31"/>
        <v>0.07</v>
      </c>
      <c r="F95" s="17">
        <v>189</v>
      </c>
      <c r="G95" s="7">
        <f t="shared" si="32"/>
        <v>0.04</v>
      </c>
      <c r="H95" s="17">
        <v>76</v>
      </c>
      <c r="I95" s="18">
        <f t="shared" si="33"/>
        <v>0.15</v>
      </c>
      <c r="J95" s="19">
        <v>29.4</v>
      </c>
      <c r="K95" s="18">
        <f t="shared" si="34"/>
        <v>0.54</v>
      </c>
      <c r="L95" s="20">
        <v>3.7</v>
      </c>
      <c r="M95" s="7">
        <f t="shared" si="35"/>
        <v>0.1</v>
      </c>
      <c r="N95" s="19">
        <v>37.8</v>
      </c>
      <c r="O95" s="7">
        <f t="shared" si="36"/>
        <v>0.21</v>
      </c>
      <c r="P95" s="21">
        <v>15.4</v>
      </c>
      <c r="Q95" s="7">
        <f t="shared" si="37"/>
        <v>0.06</v>
      </c>
      <c r="R95" s="11">
        <v>87883.4735530358</v>
      </c>
      <c r="S95" s="7">
        <f t="shared" si="38"/>
        <v>0.04</v>
      </c>
      <c r="T95" s="11">
        <v>2197.0868388259</v>
      </c>
      <c r="U95" s="7">
        <f t="shared" si="39"/>
        <v>0.04</v>
      </c>
      <c r="V95" s="11">
        <f t="shared" si="28"/>
        <v>6.69473993474937</v>
      </c>
      <c r="W95" s="7">
        <f t="shared" si="40"/>
        <v>0.22</v>
      </c>
      <c r="X95" s="11">
        <v>10</v>
      </c>
      <c r="Y95" s="7">
        <v>0</v>
      </c>
      <c r="Z95" s="11">
        <v>48.8359788359788</v>
      </c>
      <c r="AA95" s="7">
        <f t="shared" si="41"/>
        <v>0.43</v>
      </c>
      <c r="AB95" s="12">
        <f t="shared" si="29"/>
        <v>33.4736996737468</v>
      </c>
      <c r="AC95" s="13">
        <f t="shared" si="42"/>
        <v>0.22</v>
      </c>
    </row>
    <row r="96" spans="1:29">
      <c r="A96" s="14">
        <v>45685</v>
      </c>
      <c r="B96" s="15">
        <v>289000</v>
      </c>
      <c r="C96" s="7">
        <f t="shared" si="30"/>
        <v>0.42</v>
      </c>
      <c r="D96" s="16">
        <v>112</v>
      </c>
      <c r="E96" s="7">
        <f t="shared" si="31"/>
        <v>0.13</v>
      </c>
      <c r="F96" s="17">
        <v>220</v>
      </c>
      <c r="G96" s="7">
        <f t="shared" si="32"/>
        <v>0.1</v>
      </c>
      <c r="H96" s="17">
        <v>96</v>
      </c>
      <c r="I96" s="18">
        <f t="shared" si="33"/>
        <v>0.2</v>
      </c>
      <c r="J96" s="19">
        <v>23.6</v>
      </c>
      <c r="K96" s="18">
        <f t="shared" si="34"/>
        <v>0.27</v>
      </c>
      <c r="L96" s="20">
        <v>3.4</v>
      </c>
      <c r="M96" s="7">
        <f t="shared" si="35"/>
        <v>0.08</v>
      </c>
      <c r="N96" s="19">
        <v>38.4</v>
      </c>
      <c r="O96" s="7">
        <f t="shared" si="36"/>
        <v>0.22</v>
      </c>
      <c r="P96" s="21">
        <v>16.6</v>
      </c>
      <c r="Q96" s="7">
        <f t="shared" si="37"/>
        <v>0.16</v>
      </c>
      <c r="R96" s="11">
        <v>133656.526676051</v>
      </c>
      <c r="S96" s="7">
        <f t="shared" si="38"/>
        <v>0.25</v>
      </c>
      <c r="T96" s="11">
        <v>3341.41316690128</v>
      </c>
      <c r="U96" s="7">
        <f t="shared" si="39"/>
        <v>0.25</v>
      </c>
      <c r="V96" s="11">
        <f t="shared" si="28"/>
        <v>4.75696934382422</v>
      </c>
      <c r="W96" s="7">
        <f t="shared" si="40"/>
        <v>0.12</v>
      </c>
      <c r="X96" s="11">
        <v>10</v>
      </c>
      <c r="Y96" s="7">
        <v>0</v>
      </c>
      <c r="Z96" s="11">
        <v>50.3181818181818</v>
      </c>
      <c r="AA96" s="7">
        <f t="shared" si="41"/>
        <v>0.45</v>
      </c>
      <c r="AB96" s="12">
        <f t="shared" si="29"/>
        <v>23.7848467191211</v>
      </c>
      <c r="AC96" s="13">
        <f t="shared" si="42"/>
        <v>0.12</v>
      </c>
    </row>
    <row r="97" spans="1:29">
      <c r="A97" s="14">
        <v>45686</v>
      </c>
      <c r="B97" s="15">
        <v>269900</v>
      </c>
      <c r="C97" s="7">
        <f t="shared" si="30"/>
        <v>0.34</v>
      </c>
      <c r="D97" s="16">
        <v>92.7</v>
      </c>
      <c r="E97" s="7">
        <f t="shared" si="31"/>
        <v>0.06</v>
      </c>
      <c r="F97" s="17">
        <v>187</v>
      </c>
      <c r="G97" s="7">
        <f t="shared" si="32"/>
        <v>0.04</v>
      </c>
      <c r="H97" s="17">
        <v>96</v>
      </c>
      <c r="I97" s="18">
        <f t="shared" si="33"/>
        <v>0.2</v>
      </c>
      <c r="J97" s="19">
        <v>29.4</v>
      </c>
      <c r="K97" s="18">
        <f t="shared" si="34"/>
        <v>0.54</v>
      </c>
      <c r="L97" s="20">
        <v>3.62</v>
      </c>
      <c r="M97" s="7">
        <f t="shared" si="35"/>
        <v>0.09</v>
      </c>
      <c r="N97" s="19">
        <v>37.8</v>
      </c>
      <c r="O97" s="7">
        <f t="shared" si="36"/>
        <v>0.21</v>
      </c>
      <c r="P97" s="21">
        <v>16.5</v>
      </c>
      <c r="Q97" s="7">
        <f t="shared" si="37"/>
        <v>0.15</v>
      </c>
      <c r="R97" s="11">
        <v>100188.748798417</v>
      </c>
      <c r="S97" s="7">
        <f t="shared" si="38"/>
        <v>0.1</v>
      </c>
      <c r="T97" s="11">
        <v>2504.71871996042</v>
      </c>
      <c r="U97" s="7">
        <f t="shared" si="39"/>
        <v>0.1</v>
      </c>
      <c r="V97" s="11">
        <f t="shared" si="28"/>
        <v>5.03762154985586</v>
      </c>
      <c r="W97" s="7">
        <f t="shared" si="40"/>
        <v>0.14</v>
      </c>
      <c r="X97" s="11">
        <v>10</v>
      </c>
      <c r="Y97" s="7">
        <v>0</v>
      </c>
      <c r="Z97" s="11">
        <v>48.9304812834225</v>
      </c>
      <c r="AA97" s="7">
        <f t="shared" si="41"/>
        <v>0.43</v>
      </c>
      <c r="AB97" s="12">
        <f t="shared" si="29"/>
        <v>25.1881077492793</v>
      </c>
      <c r="AC97" s="13">
        <f t="shared" si="42"/>
        <v>0.14</v>
      </c>
    </row>
    <row r="98" spans="1:29">
      <c r="A98" s="14">
        <v>45687</v>
      </c>
      <c r="B98" s="15">
        <v>268000</v>
      </c>
      <c r="C98" s="7">
        <f t="shared" si="30"/>
        <v>0.33</v>
      </c>
      <c r="D98" s="16">
        <v>139</v>
      </c>
      <c r="E98" s="7">
        <f t="shared" si="31"/>
        <v>0.22</v>
      </c>
      <c r="F98" s="17">
        <v>200</v>
      </c>
      <c r="G98" s="7">
        <f t="shared" si="32"/>
        <v>0.06</v>
      </c>
      <c r="H98" s="17">
        <v>104</v>
      </c>
      <c r="I98" s="18">
        <f t="shared" si="33"/>
        <v>0.22</v>
      </c>
      <c r="J98" s="19">
        <v>28.4</v>
      </c>
      <c r="K98" s="18">
        <f t="shared" si="34"/>
        <v>0.49</v>
      </c>
      <c r="L98" s="20">
        <v>3.8</v>
      </c>
      <c r="M98" s="7">
        <f t="shared" si="35"/>
        <v>0.1</v>
      </c>
      <c r="N98" s="19">
        <v>37.3</v>
      </c>
      <c r="O98" s="7">
        <f t="shared" si="36"/>
        <v>0.2</v>
      </c>
      <c r="P98" s="21">
        <v>16.3</v>
      </c>
      <c r="Q98" s="7">
        <f t="shared" si="37"/>
        <v>0.14</v>
      </c>
      <c r="R98" s="11">
        <v>131424.192278008</v>
      </c>
      <c r="S98" s="7">
        <f t="shared" si="38"/>
        <v>0.24</v>
      </c>
      <c r="T98" s="11">
        <v>3285.6048069502</v>
      </c>
      <c r="U98" s="7">
        <f t="shared" si="39"/>
        <v>0.24</v>
      </c>
      <c r="V98" s="11">
        <f t="shared" si="28"/>
        <v>4.07839676021119</v>
      </c>
      <c r="W98" s="7">
        <f t="shared" si="40"/>
        <v>0.09</v>
      </c>
      <c r="X98" s="11">
        <v>10</v>
      </c>
      <c r="Y98" s="7">
        <v>0</v>
      </c>
      <c r="Z98" s="11">
        <v>68.85</v>
      </c>
      <c r="AA98" s="7">
        <f t="shared" si="41"/>
        <v>0.68</v>
      </c>
      <c r="AB98" s="12">
        <f t="shared" si="29"/>
        <v>20.3919838010559</v>
      </c>
      <c r="AC98" s="13">
        <f t="shared" si="42"/>
        <v>0.09</v>
      </c>
    </row>
    <row r="99" spans="1:29">
      <c r="A99" s="14">
        <v>45688</v>
      </c>
      <c r="B99" s="15">
        <v>294400</v>
      </c>
      <c r="C99" s="7">
        <f t="shared" ref="C99:C130" si="43">ROUND((B99-MIN($B$2:$B$182))/(MAX($B$2:$B$182)-MIN($B$2:$B$182)),2)</f>
        <v>0.45</v>
      </c>
      <c r="D99" s="16">
        <v>93</v>
      </c>
      <c r="E99" s="7">
        <f t="shared" ref="E99:E130" si="44">ROUND((D99-MIN($D$2:$D$182))/(MAX($D$2:$D$182)-MIN($D$2:$D$182)),2)</f>
        <v>0.07</v>
      </c>
      <c r="F99" s="17">
        <v>171</v>
      </c>
      <c r="G99" s="7">
        <f t="shared" ref="G99:G130" si="45">ROUND((F99-MIN($F$2:$F$182))/(MAX($F$2:$F$182)-MIN($F$2:$F$182)),2)</f>
        <v>0.01</v>
      </c>
      <c r="H99" s="17">
        <v>88</v>
      </c>
      <c r="I99" s="18">
        <f t="shared" ref="I99:I130" si="46">ROUND((H99-MIN($H$2:$H$182))/(MAX($H$2:$H$182)-MIN($H$2:$H$182)),2)</f>
        <v>0.18</v>
      </c>
      <c r="J99" s="19">
        <v>30.3</v>
      </c>
      <c r="K99" s="18">
        <f t="shared" ref="K99:K130" si="47">ROUND((J99-MIN($J$2:$J$182))/(MAX($J$2:$J$182)-MIN($J$2:$J$182)),2)</f>
        <v>0.58</v>
      </c>
      <c r="L99" s="20">
        <v>3.64</v>
      </c>
      <c r="M99" s="7">
        <f t="shared" ref="M99:M130" si="48">ROUND((L99-MIN($L$2:$L$182))/(MAX($L$2:$L$182)-MIN($L$2:$L$182)),2)</f>
        <v>0.1</v>
      </c>
      <c r="N99" s="19">
        <v>38.1</v>
      </c>
      <c r="O99" s="7">
        <f t="shared" ref="O99:O130" si="49">ROUND((N99-MIN($N$2:$N$182))/(MAX($N$2:$N$182)-MIN($N$2:$N$182)),2)</f>
        <v>0.22</v>
      </c>
      <c r="P99" s="21">
        <v>16.1</v>
      </c>
      <c r="Q99" s="7">
        <f t="shared" ref="Q99:Q130" si="50">ROUND((P99-MIN($P$2:$P$182))/(MAX($P$2:$P$182)-MIN($P$2:$P$182)),2)</f>
        <v>0.12</v>
      </c>
      <c r="R99" s="11">
        <v>119262.854283899</v>
      </c>
      <c r="S99" s="7">
        <f t="shared" ref="S99:S130" si="51">ROUND((R99-MIN($R$2:$R$182))/(MAX($R$2:$R$182)-MIN($R$2:$R$182)),2)</f>
        <v>0.19</v>
      </c>
      <c r="T99" s="11">
        <v>2981.57135709748</v>
      </c>
      <c r="U99" s="7">
        <f t="shared" ref="U99:U130" si="52">ROUND((T99-MIN($T$2:$T$182))/(MAX($T$2:$T$182)-MIN($T$2:$T$182)),2)</f>
        <v>0.19</v>
      </c>
      <c r="V99" s="11">
        <f t="shared" si="28"/>
        <v>4.22112989851496</v>
      </c>
      <c r="W99" s="7">
        <f t="shared" ref="W99:W130" si="53">ROUND((V99-MIN($V$2:$V$182))/(MAX($V$2:$V$182)-MIN($V$2:$V$182)),2)</f>
        <v>0.1</v>
      </c>
      <c r="X99" s="11">
        <v>10</v>
      </c>
      <c r="Y99" s="7">
        <v>0</v>
      </c>
      <c r="Z99" s="11">
        <v>53.5672514619883</v>
      </c>
      <c r="AA99" s="7">
        <f t="shared" ref="AA99:AA130" si="54">ROUND((Z99-MIN($Z$2:$Z$182))/(MAX($Z$2:$Z$182)-MIN($Z$2:$Z$182)),2)</f>
        <v>0.49</v>
      </c>
      <c r="AB99" s="12">
        <f t="shared" si="29"/>
        <v>21.1056494925748</v>
      </c>
      <c r="AC99" s="13">
        <f t="shared" ref="AC99:AC130" si="55">ROUND((AB99-MIN($AB$2:$AB$182))/(MAX($AB$2:$AB$182)-MIN($AB$2:$AB$182)),2)</f>
        <v>0.1</v>
      </c>
    </row>
    <row r="100" spans="1:29">
      <c r="A100" s="14">
        <v>45689</v>
      </c>
      <c r="B100" s="15">
        <v>282100</v>
      </c>
      <c r="C100" s="7">
        <f t="shared" si="43"/>
        <v>0.39</v>
      </c>
      <c r="D100" s="16">
        <v>87.6</v>
      </c>
      <c r="E100" s="7">
        <f t="shared" si="44"/>
        <v>0.05</v>
      </c>
      <c r="F100" s="17">
        <v>187</v>
      </c>
      <c r="G100" s="7">
        <f t="shared" si="45"/>
        <v>0.04</v>
      </c>
      <c r="H100" s="17">
        <v>88</v>
      </c>
      <c r="I100" s="18">
        <f t="shared" si="46"/>
        <v>0.18</v>
      </c>
      <c r="J100" s="19">
        <v>29.8</v>
      </c>
      <c r="K100" s="18">
        <f t="shared" si="47"/>
        <v>0.56</v>
      </c>
      <c r="L100" s="20">
        <v>3.3</v>
      </c>
      <c r="M100" s="7">
        <f t="shared" si="48"/>
        <v>0.08</v>
      </c>
      <c r="N100" s="19">
        <v>35.6</v>
      </c>
      <c r="O100" s="7">
        <f t="shared" si="49"/>
        <v>0.17</v>
      </c>
      <c r="P100" s="21">
        <v>15.9</v>
      </c>
      <c r="Q100" s="7">
        <f t="shared" si="50"/>
        <v>0.1</v>
      </c>
      <c r="R100" s="11">
        <v>104474.705656953</v>
      </c>
      <c r="S100" s="7">
        <f t="shared" si="51"/>
        <v>0.12</v>
      </c>
      <c r="T100" s="11">
        <v>2611.86764142382</v>
      </c>
      <c r="U100" s="7">
        <f t="shared" si="52"/>
        <v>0.12</v>
      </c>
      <c r="V100" s="11">
        <f t="shared" si="28"/>
        <v>5.04932745857316</v>
      </c>
      <c r="W100" s="7">
        <f t="shared" si="53"/>
        <v>0.14</v>
      </c>
      <c r="X100" s="11">
        <v>10</v>
      </c>
      <c r="Y100" s="7">
        <v>0</v>
      </c>
      <c r="Z100" s="11">
        <v>45.9893048128342</v>
      </c>
      <c r="AA100" s="7">
        <f t="shared" si="54"/>
        <v>0.39</v>
      </c>
      <c r="AB100" s="12">
        <f t="shared" si="29"/>
        <v>25.2466372928658</v>
      </c>
      <c r="AC100" s="13">
        <f t="shared" si="55"/>
        <v>0.14</v>
      </c>
    </row>
    <row r="101" spans="1:29">
      <c r="A101" s="14">
        <v>45690</v>
      </c>
      <c r="B101" s="15">
        <v>268200</v>
      </c>
      <c r="C101" s="7">
        <f t="shared" si="43"/>
        <v>0.33</v>
      </c>
      <c r="D101" s="16">
        <v>150</v>
      </c>
      <c r="E101" s="7">
        <f t="shared" si="44"/>
        <v>0.26</v>
      </c>
      <c r="F101" s="17">
        <v>215</v>
      </c>
      <c r="G101" s="7">
        <f t="shared" si="45"/>
        <v>0.09</v>
      </c>
      <c r="H101" s="17">
        <v>96</v>
      </c>
      <c r="I101" s="18">
        <f t="shared" si="46"/>
        <v>0.2</v>
      </c>
      <c r="J101" s="19">
        <v>32.4</v>
      </c>
      <c r="K101" s="18">
        <f t="shared" si="47"/>
        <v>0.68</v>
      </c>
      <c r="L101" s="20">
        <v>3.1</v>
      </c>
      <c r="M101" s="7">
        <f t="shared" si="48"/>
        <v>0.06</v>
      </c>
      <c r="N101" s="19">
        <v>37.6</v>
      </c>
      <c r="O101" s="7">
        <f t="shared" si="49"/>
        <v>0.21</v>
      </c>
      <c r="P101" s="21">
        <v>15.7</v>
      </c>
      <c r="Q101" s="7">
        <f t="shared" si="50"/>
        <v>0.08</v>
      </c>
      <c r="R101" s="11">
        <v>95800.85380383</v>
      </c>
      <c r="S101" s="7">
        <f t="shared" si="51"/>
        <v>0.07</v>
      </c>
      <c r="T101" s="11">
        <v>2395.02134509575</v>
      </c>
      <c r="U101" s="7">
        <f t="shared" si="52"/>
        <v>0.07</v>
      </c>
      <c r="V101" s="11">
        <f t="shared" si="28"/>
        <v>6.0190486525387</v>
      </c>
      <c r="W101" s="7">
        <f t="shared" si="53"/>
        <v>0.19</v>
      </c>
      <c r="X101" s="11">
        <v>10</v>
      </c>
      <c r="Y101" s="7">
        <v>0</v>
      </c>
      <c r="Z101" s="11">
        <v>68.6976744186046</v>
      </c>
      <c r="AA101" s="7">
        <f t="shared" si="54"/>
        <v>0.68</v>
      </c>
      <c r="AB101" s="12">
        <f t="shared" si="29"/>
        <v>30.0952432626935</v>
      </c>
      <c r="AC101" s="13">
        <f t="shared" si="55"/>
        <v>0.19</v>
      </c>
    </row>
    <row r="102" spans="1:29">
      <c r="A102" s="14">
        <v>45691</v>
      </c>
      <c r="B102" s="15">
        <v>304600</v>
      </c>
      <c r="C102" s="7">
        <f t="shared" si="43"/>
        <v>0.49</v>
      </c>
      <c r="D102" s="16">
        <v>104</v>
      </c>
      <c r="E102" s="7">
        <f t="shared" si="44"/>
        <v>0.1</v>
      </c>
      <c r="F102" s="17">
        <v>207</v>
      </c>
      <c r="G102" s="7">
        <f t="shared" si="45"/>
        <v>0.07</v>
      </c>
      <c r="H102" s="17">
        <v>96</v>
      </c>
      <c r="I102" s="18">
        <f t="shared" si="46"/>
        <v>0.2</v>
      </c>
      <c r="J102" s="19">
        <v>28.5</v>
      </c>
      <c r="K102" s="18">
        <f t="shared" si="47"/>
        <v>0.5</v>
      </c>
      <c r="L102" s="20">
        <v>3.02</v>
      </c>
      <c r="M102" s="7">
        <f t="shared" si="48"/>
        <v>0.06</v>
      </c>
      <c r="N102" s="19">
        <v>35.4</v>
      </c>
      <c r="O102" s="7">
        <f t="shared" si="49"/>
        <v>0.17</v>
      </c>
      <c r="P102" s="21">
        <v>15.6</v>
      </c>
      <c r="Q102" s="7">
        <f t="shared" si="50"/>
        <v>0.08</v>
      </c>
      <c r="R102" s="11">
        <v>91016.6111179683</v>
      </c>
      <c r="S102" s="7">
        <f t="shared" si="51"/>
        <v>0.05</v>
      </c>
      <c r="T102" s="11">
        <v>2275.41527794921</v>
      </c>
      <c r="U102" s="7">
        <f t="shared" si="52"/>
        <v>0.05</v>
      </c>
      <c r="V102" s="11">
        <f t="shared" si="28"/>
        <v>6.92754863376278</v>
      </c>
      <c r="W102" s="7">
        <f t="shared" si="53"/>
        <v>0.24</v>
      </c>
      <c r="X102" s="11">
        <v>10</v>
      </c>
      <c r="Y102" s="7">
        <v>0</v>
      </c>
      <c r="Z102" s="11">
        <v>49.6618357487923</v>
      </c>
      <c r="AA102" s="7">
        <f t="shared" si="54"/>
        <v>0.44</v>
      </c>
      <c r="AB102" s="12">
        <f t="shared" si="29"/>
        <v>34.6377431688139</v>
      </c>
      <c r="AC102" s="13">
        <f t="shared" si="55"/>
        <v>0.24</v>
      </c>
    </row>
    <row r="103" spans="1:29">
      <c r="A103" s="14">
        <v>45692</v>
      </c>
      <c r="B103" s="15">
        <v>317900</v>
      </c>
      <c r="C103" s="7">
        <f t="shared" si="43"/>
        <v>0.55</v>
      </c>
      <c r="D103" s="16">
        <v>110</v>
      </c>
      <c r="E103" s="7">
        <f t="shared" si="44"/>
        <v>0.12</v>
      </c>
      <c r="F103" s="17">
        <v>230</v>
      </c>
      <c r="G103" s="7">
        <f t="shared" si="45"/>
        <v>0.11</v>
      </c>
      <c r="H103" s="17">
        <v>96</v>
      </c>
      <c r="I103" s="18">
        <f t="shared" si="46"/>
        <v>0.2</v>
      </c>
      <c r="J103" s="19">
        <v>28.9</v>
      </c>
      <c r="K103" s="18">
        <f t="shared" si="47"/>
        <v>0.52</v>
      </c>
      <c r="L103" s="20">
        <v>3.28</v>
      </c>
      <c r="M103" s="7">
        <f t="shared" si="48"/>
        <v>0.07</v>
      </c>
      <c r="N103" s="19">
        <v>34.2</v>
      </c>
      <c r="O103" s="7">
        <f t="shared" si="49"/>
        <v>0.14</v>
      </c>
      <c r="P103" s="21">
        <v>15.6</v>
      </c>
      <c r="Q103" s="7">
        <f t="shared" si="50"/>
        <v>0.08</v>
      </c>
      <c r="R103" s="11">
        <v>108005.939605407</v>
      </c>
      <c r="S103" s="7">
        <f t="shared" si="51"/>
        <v>0.13</v>
      </c>
      <c r="T103" s="11">
        <v>2700.14849013519</v>
      </c>
      <c r="U103" s="7">
        <f t="shared" si="52"/>
        <v>0.13</v>
      </c>
      <c r="V103" s="11">
        <f t="shared" si="28"/>
        <v>6.76972028271112</v>
      </c>
      <c r="W103" s="7">
        <f t="shared" si="53"/>
        <v>0.23</v>
      </c>
      <c r="X103" s="11">
        <v>10</v>
      </c>
      <c r="Y103" s="7">
        <v>0</v>
      </c>
      <c r="Z103" s="11">
        <v>47.1739130434783</v>
      </c>
      <c r="AA103" s="7">
        <f t="shared" si="54"/>
        <v>0.41</v>
      </c>
      <c r="AB103" s="12">
        <f t="shared" si="29"/>
        <v>33.8486014135556</v>
      </c>
      <c r="AC103" s="13">
        <f t="shared" si="55"/>
        <v>0.23</v>
      </c>
    </row>
    <row r="104" spans="1:29">
      <c r="A104" s="14">
        <v>45693</v>
      </c>
      <c r="B104" s="15">
        <v>296500</v>
      </c>
      <c r="C104" s="7">
        <f t="shared" si="43"/>
        <v>0.46</v>
      </c>
      <c r="D104" s="16">
        <v>156</v>
      </c>
      <c r="E104" s="7">
        <f t="shared" si="44"/>
        <v>0.28</v>
      </c>
      <c r="F104" s="17">
        <v>315</v>
      </c>
      <c r="G104" s="7">
        <f t="shared" si="45"/>
        <v>0.26</v>
      </c>
      <c r="H104" s="17">
        <v>12</v>
      </c>
      <c r="I104" s="18">
        <f t="shared" si="46"/>
        <v>0</v>
      </c>
      <c r="J104" s="19">
        <v>25.2</v>
      </c>
      <c r="K104" s="18">
        <f t="shared" si="47"/>
        <v>0.35</v>
      </c>
      <c r="L104" s="20">
        <v>5.26</v>
      </c>
      <c r="M104" s="7">
        <f t="shared" si="48"/>
        <v>0.19</v>
      </c>
      <c r="N104" s="19">
        <v>40.2</v>
      </c>
      <c r="O104" s="7">
        <f t="shared" si="49"/>
        <v>0.26</v>
      </c>
      <c r="P104" s="21">
        <v>15.6</v>
      </c>
      <c r="Q104" s="7">
        <f t="shared" si="50"/>
        <v>0.08</v>
      </c>
      <c r="R104" s="11">
        <v>107697.672799425</v>
      </c>
      <c r="S104" s="7">
        <f t="shared" si="51"/>
        <v>0.13</v>
      </c>
      <c r="T104" s="11">
        <v>2692.44181998561</v>
      </c>
      <c r="U104" s="7">
        <f t="shared" si="52"/>
        <v>0.13</v>
      </c>
      <c r="V104" s="11">
        <f t="shared" si="28"/>
        <v>8.6721929613041</v>
      </c>
      <c r="W104" s="7">
        <f t="shared" si="53"/>
        <v>0.32</v>
      </c>
      <c r="X104" s="11">
        <v>10</v>
      </c>
      <c r="Y104" s="7">
        <v>0</v>
      </c>
      <c r="Z104" s="11">
        <v>48.984126984127</v>
      </c>
      <c r="AA104" s="7">
        <f t="shared" si="54"/>
        <v>0.43</v>
      </c>
      <c r="AB104" s="12">
        <f t="shared" si="29"/>
        <v>43.3609648065205</v>
      </c>
      <c r="AC104" s="13">
        <f t="shared" si="55"/>
        <v>0.32</v>
      </c>
    </row>
    <row r="105" spans="1:29">
      <c r="A105" s="14">
        <v>45694</v>
      </c>
      <c r="B105" s="15">
        <v>292700</v>
      </c>
      <c r="C105" s="7">
        <f t="shared" si="43"/>
        <v>0.44</v>
      </c>
      <c r="D105" s="16">
        <v>178</v>
      </c>
      <c r="E105" s="7">
        <f t="shared" si="44"/>
        <v>0.36</v>
      </c>
      <c r="F105" s="17">
        <v>453</v>
      </c>
      <c r="G105" s="7">
        <f t="shared" si="45"/>
        <v>0.5</v>
      </c>
      <c r="H105" s="17">
        <v>136</v>
      </c>
      <c r="I105" s="18">
        <f t="shared" si="46"/>
        <v>0.3</v>
      </c>
      <c r="J105" s="19">
        <v>32</v>
      </c>
      <c r="K105" s="18">
        <f t="shared" si="47"/>
        <v>0.66</v>
      </c>
      <c r="L105" s="20">
        <v>6.14</v>
      </c>
      <c r="M105" s="7">
        <f t="shared" si="48"/>
        <v>0.24</v>
      </c>
      <c r="N105" s="19">
        <v>38.5</v>
      </c>
      <c r="O105" s="7">
        <f t="shared" si="49"/>
        <v>0.23</v>
      </c>
      <c r="P105" s="21">
        <v>15.5</v>
      </c>
      <c r="Q105" s="7">
        <f t="shared" si="50"/>
        <v>0.07</v>
      </c>
      <c r="R105" s="11">
        <v>82591.5606096501</v>
      </c>
      <c r="S105" s="7">
        <f t="shared" si="51"/>
        <v>0.01</v>
      </c>
      <c r="T105" s="11">
        <v>2064.78901524125</v>
      </c>
      <c r="U105" s="7">
        <f t="shared" si="52"/>
        <v>0.01</v>
      </c>
      <c r="V105" s="11">
        <f t="shared" si="28"/>
        <v>16.0540736875854</v>
      </c>
      <c r="W105" s="7">
        <f t="shared" si="53"/>
        <v>0.7</v>
      </c>
      <c r="X105" s="11">
        <v>10</v>
      </c>
      <c r="Y105" s="7">
        <v>0</v>
      </c>
      <c r="Z105" s="11">
        <v>38.8962472406181</v>
      </c>
      <c r="AA105" s="7">
        <f t="shared" si="54"/>
        <v>0.3</v>
      </c>
      <c r="AB105" s="12">
        <f t="shared" si="29"/>
        <v>80.2703684379272</v>
      </c>
      <c r="AC105" s="13">
        <f t="shared" si="55"/>
        <v>0.7</v>
      </c>
    </row>
    <row r="106" spans="1:29">
      <c r="A106" s="14">
        <v>45695</v>
      </c>
      <c r="B106" s="15">
        <v>286300</v>
      </c>
      <c r="C106" s="7">
        <f t="shared" si="43"/>
        <v>0.41</v>
      </c>
      <c r="D106" s="16">
        <v>200</v>
      </c>
      <c r="E106" s="7">
        <f t="shared" si="44"/>
        <v>0.43</v>
      </c>
      <c r="F106" s="17">
        <v>424</v>
      </c>
      <c r="G106" s="7">
        <f t="shared" si="45"/>
        <v>0.45</v>
      </c>
      <c r="H106" s="17">
        <v>172</v>
      </c>
      <c r="I106" s="18">
        <f t="shared" si="46"/>
        <v>0.38</v>
      </c>
      <c r="J106" s="19">
        <v>32.4</v>
      </c>
      <c r="K106" s="18">
        <f t="shared" si="47"/>
        <v>0.68</v>
      </c>
      <c r="L106" s="20">
        <v>5.62</v>
      </c>
      <c r="M106" s="7">
        <f t="shared" si="48"/>
        <v>0.21</v>
      </c>
      <c r="N106" s="19">
        <v>40</v>
      </c>
      <c r="O106" s="7">
        <f t="shared" si="49"/>
        <v>0.25</v>
      </c>
      <c r="P106" s="21">
        <v>15.5</v>
      </c>
      <c r="Q106" s="7">
        <f t="shared" si="50"/>
        <v>0.07</v>
      </c>
      <c r="R106" s="11">
        <v>164551.44</v>
      </c>
      <c r="S106" s="7">
        <f t="shared" si="51"/>
        <v>0.4</v>
      </c>
      <c r="T106" s="11">
        <v>4113.786</v>
      </c>
      <c r="U106" s="7">
        <f t="shared" si="52"/>
        <v>0.4</v>
      </c>
      <c r="V106" s="11">
        <f t="shared" si="28"/>
        <v>7.37709739884379</v>
      </c>
      <c r="W106" s="7">
        <f t="shared" si="53"/>
        <v>0.26</v>
      </c>
      <c r="X106" s="11">
        <v>10</v>
      </c>
      <c r="Y106" s="7">
        <v>0</v>
      </c>
      <c r="Z106" s="11">
        <v>46.8632075471698</v>
      </c>
      <c r="AA106" s="7">
        <f t="shared" si="54"/>
        <v>0.4</v>
      </c>
      <c r="AB106" s="12">
        <f t="shared" si="29"/>
        <v>36.885486994219</v>
      </c>
      <c r="AC106" s="13">
        <f t="shared" si="55"/>
        <v>0.26</v>
      </c>
    </row>
    <row r="107" spans="1:29">
      <c r="A107" s="14">
        <v>45696</v>
      </c>
      <c r="B107" s="15">
        <v>287400</v>
      </c>
      <c r="C107" s="7">
        <f t="shared" si="43"/>
        <v>0.42</v>
      </c>
      <c r="D107" s="16">
        <v>162</v>
      </c>
      <c r="E107" s="7">
        <f t="shared" si="44"/>
        <v>0.3</v>
      </c>
      <c r="F107" s="17">
        <v>388</v>
      </c>
      <c r="G107" s="7">
        <f t="shared" si="45"/>
        <v>0.39</v>
      </c>
      <c r="H107" s="17">
        <v>176</v>
      </c>
      <c r="I107" s="18">
        <f t="shared" si="46"/>
        <v>0.39</v>
      </c>
      <c r="J107" s="19">
        <v>27</v>
      </c>
      <c r="K107" s="18">
        <f t="shared" si="47"/>
        <v>0.43</v>
      </c>
      <c r="L107" s="20">
        <v>4.22</v>
      </c>
      <c r="M107" s="7">
        <f t="shared" si="48"/>
        <v>0.13</v>
      </c>
      <c r="N107" s="19">
        <v>39.6</v>
      </c>
      <c r="O107" s="7">
        <f t="shared" si="49"/>
        <v>0.25</v>
      </c>
      <c r="P107" s="21">
        <v>15.6</v>
      </c>
      <c r="Q107" s="7">
        <f t="shared" si="50"/>
        <v>0.08</v>
      </c>
      <c r="R107" s="11">
        <v>127105.975462039</v>
      </c>
      <c r="S107" s="7">
        <f t="shared" si="51"/>
        <v>0.22</v>
      </c>
      <c r="T107" s="11">
        <v>3177.64938655098</v>
      </c>
      <c r="U107" s="7">
        <f t="shared" si="52"/>
        <v>0.22</v>
      </c>
      <c r="V107" s="11">
        <f t="shared" si="28"/>
        <v>8.77308872337818</v>
      </c>
      <c r="W107" s="7">
        <f t="shared" si="53"/>
        <v>0.33</v>
      </c>
      <c r="X107" s="11">
        <v>10</v>
      </c>
      <c r="Y107" s="7">
        <v>0</v>
      </c>
      <c r="Z107" s="11">
        <v>41.3144329896907</v>
      </c>
      <c r="AA107" s="7">
        <f t="shared" si="54"/>
        <v>0.33</v>
      </c>
      <c r="AB107" s="12">
        <f t="shared" si="29"/>
        <v>43.8654436168909</v>
      </c>
      <c r="AC107" s="13">
        <f t="shared" si="55"/>
        <v>0.33</v>
      </c>
    </row>
    <row r="108" spans="1:29">
      <c r="A108" s="14">
        <v>45697</v>
      </c>
      <c r="B108" s="15">
        <v>290700</v>
      </c>
      <c r="C108" s="7">
        <f t="shared" si="43"/>
        <v>0.43</v>
      </c>
      <c r="D108" s="16">
        <v>103</v>
      </c>
      <c r="E108" s="7">
        <f t="shared" si="44"/>
        <v>0.1</v>
      </c>
      <c r="F108" s="17">
        <v>214</v>
      </c>
      <c r="G108" s="7">
        <f t="shared" si="45"/>
        <v>0.09</v>
      </c>
      <c r="H108" s="17">
        <v>72</v>
      </c>
      <c r="I108" s="18">
        <f t="shared" si="46"/>
        <v>0.14</v>
      </c>
      <c r="J108" s="19">
        <v>26.6</v>
      </c>
      <c r="K108" s="18">
        <f t="shared" si="47"/>
        <v>0.41</v>
      </c>
      <c r="L108" s="20">
        <v>5.52</v>
      </c>
      <c r="M108" s="7">
        <f t="shared" si="48"/>
        <v>0.2</v>
      </c>
      <c r="N108" s="19">
        <v>37.4</v>
      </c>
      <c r="O108" s="7">
        <f t="shared" si="49"/>
        <v>0.2</v>
      </c>
      <c r="P108" s="21">
        <v>15.5</v>
      </c>
      <c r="Q108" s="7">
        <f t="shared" si="50"/>
        <v>0.07</v>
      </c>
      <c r="R108" s="11">
        <v>129089.840795454</v>
      </c>
      <c r="S108" s="7">
        <f t="shared" si="51"/>
        <v>0.23</v>
      </c>
      <c r="T108" s="11">
        <v>3227.24601988636</v>
      </c>
      <c r="U108" s="7">
        <f t="shared" si="52"/>
        <v>0.23</v>
      </c>
      <c r="V108" s="11">
        <f t="shared" si="28"/>
        <v>4.81910889475592</v>
      </c>
      <c r="W108" s="7">
        <f t="shared" si="53"/>
        <v>0.13</v>
      </c>
      <c r="X108" s="11">
        <v>10</v>
      </c>
      <c r="Y108" s="7">
        <v>0</v>
      </c>
      <c r="Z108" s="11">
        <v>47.4299065420561</v>
      </c>
      <c r="AA108" s="7">
        <f t="shared" si="54"/>
        <v>0.41</v>
      </c>
      <c r="AB108" s="12">
        <f t="shared" si="29"/>
        <v>24.0955444737796</v>
      </c>
      <c r="AC108" s="13">
        <f t="shared" si="55"/>
        <v>0.13</v>
      </c>
    </row>
    <row r="109" spans="1:29">
      <c r="A109" s="14">
        <v>45698</v>
      </c>
      <c r="B109" s="15">
        <v>294000</v>
      </c>
      <c r="C109" s="7">
        <f t="shared" si="43"/>
        <v>0.45</v>
      </c>
      <c r="D109" s="16">
        <v>294</v>
      </c>
      <c r="E109" s="7">
        <f t="shared" si="44"/>
        <v>0.75</v>
      </c>
      <c r="F109" s="17">
        <v>602</v>
      </c>
      <c r="G109" s="7">
        <f t="shared" si="45"/>
        <v>0.76</v>
      </c>
      <c r="H109" s="17">
        <v>416</v>
      </c>
      <c r="I109" s="18">
        <f t="shared" si="46"/>
        <v>0.97</v>
      </c>
      <c r="J109" s="19">
        <v>31.6</v>
      </c>
      <c r="K109" s="18">
        <f t="shared" si="47"/>
        <v>0.64</v>
      </c>
      <c r="L109" s="20">
        <v>6.53</v>
      </c>
      <c r="M109" s="7">
        <f t="shared" si="48"/>
        <v>0.26</v>
      </c>
      <c r="N109" s="19">
        <v>42.4</v>
      </c>
      <c r="O109" s="7">
        <f t="shared" si="49"/>
        <v>0.3</v>
      </c>
      <c r="P109" s="21">
        <v>15.3</v>
      </c>
      <c r="Q109" s="7">
        <f t="shared" si="50"/>
        <v>0.05</v>
      </c>
      <c r="R109" s="11">
        <v>108598.872064997</v>
      </c>
      <c r="S109" s="7">
        <f t="shared" si="51"/>
        <v>0.13</v>
      </c>
      <c r="T109" s="11">
        <v>2714.97180162491</v>
      </c>
      <c r="U109" s="7">
        <f t="shared" si="52"/>
        <v>0.13</v>
      </c>
      <c r="V109" s="11">
        <f t="shared" si="28"/>
        <v>16.2974068362398</v>
      </c>
      <c r="W109" s="7">
        <f t="shared" si="53"/>
        <v>0.71</v>
      </c>
      <c r="X109" s="11">
        <v>10</v>
      </c>
      <c r="Y109" s="7">
        <v>0</v>
      </c>
      <c r="Z109" s="11">
        <v>48.6046511627907</v>
      </c>
      <c r="AA109" s="7">
        <f t="shared" si="54"/>
        <v>0.42</v>
      </c>
      <c r="AB109" s="12">
        <f t="shared" si="29"/>
        <v>81.4870341811988</v>
      </c>
      <c r="AC109" s="13">
        <f t="shared" si="55"/>
        <v>0.71</v>
      </c>
    </row>
    <row r="110" spans="1:29">
      <c r="A110" s="14">
        <v>45699</v>
      </c>
      <c r="B110" s="15">
        <v>298900</v>
      </c>
      <c r="C110" s="7">
        <f t="shared" si="43"/>
        <v>0.47</v>
      </c>
      <c r="D110" s="16">
        <v>191</v>
      </c>
      <c r="E110" s="7">
        <f t="shared" si="44"/>
        <v>0.4</v>
      </c>
      <c r="F110" s="17">
        <v>303</v>
      </c>
      <c r="G110" s="7">
        <f t="shared" si="45"/>
        <v>0.24</v>
      </c>
      <c r="H110" s="17">
        <v>204</v>
      </c>
      <c r="I110" s="18">
        <f t="shared" si="46"/>
        <v>0.46</v>
      </c>
      <c r="J110" s="19">
        <v>29.3</v>
      </c>
      <c r="K110" s="18">
        <f t="shared" si="47"/>
        <v>0.53</v>
      </c>
      <c r="L110" s="20">
        <v>5.8</v>
      </c>
      <c r="M110" s="7">
        <f t="shared" si="48"/>
        <v>0.22</v>
      </c>
      <c r="N110" s="19">
        <v>45.8</v>
      </c>
      <c r="O110" s="7">
        <f t="shared" si="49"/>
        <v>0.37</v>
      </c>
      <c r="P110" s="21">
        <v>15.2</v>
      </c>
      <c r="Q110" s="7">
        <f t="shared" si="50"/>
        <v>0.04</v>
      </c>
      <c r="R110" s="11">
        <v>105276.082655281</v>
      </c>
      <c r="S110" s="7">
        <f t="shared" si="51"/>
        <v>0.12</v>
      </c>
      <c r="T110" s="11">
        <v>2631.90206638201</v>
      </c>
      <c r="U110" s="7">
        <f t="shared" si="52"/>
        <v>0.12</v>
      </c>
      <c r="V110" s="11">
        <f t="shared" si="28"/>
        <v>8.60278020569541</v>
      </c>
      <c r="W110" s="7">
        <f t="shared" si="53"/>
        <v>0.32</v>
      </c>
      <c r="X110" s="11">
        <v>10</v>
      </c>
      <c r="Y110" s="7">
        <v>0</v>
      </c>
      <c r="Z110" s="11">
        <v>62.5412541254125</v>
      </c>
      <c r="AA110" s="7">
        <f t="shared" si="54"/>
        <v>0.6</v>
      </c>
      <c r="AB110" s="12">
        <f t="shared" si="29"/>
        <v>43.013901028477</v>
      </c>
      <c r="AC110" s="13">
        <f t="shared" si="55"/>
        <v>0.32</v>
      </c>
    </row>
    <row r="111" spans="1:29">
      <c r="A111" s="14">
        <v>45700</v>
      </c>
      <c r="B111" s="15">
        <v>271800</v>
      </c>
      <c r="C111" s="7">
        <f t="shared" si="43"/>
        <v>0.35</v>
      </c>
      <c r="D111" s="16">
        <v>242</v>
      </c>
      <c r="E111" s="7">
        <f t="shared" si="44"/>
        <v>0.57</v>
      </c>
      <c r="F111" s="17">
        <v>349</v>
      </c>
      <c r="G111" s="7">
        <f t="shared" si="45"/>
        <v>0.32</v>
      </c>
      <c r="H111" s="17">
        <v>136</v>
      </c>
      <c r="I111" s="18">
        <f t="shared" si="46"/>
        <v>0.3</v>
      </c>
      <c r="J111" s="19">
        <v>26.6</v>
      </c>
      <c r="K111" s="18">
        <f t="shared" si="47"/>
        <v>0.41</v>
      </c>
      <c r="L111" s="20">
        <v>5.66</v>
      </c>
      <c r="M111" s="7">
        <f t="shared" si="48"/>
        <v>0.21</v>
      </c>
      <c r="N111" s="19">
        <v>37.6</v>
      </c>
      <c r="O111" s="7">
        <f t="shared" si="49"/>
        <v>0.21</v>
      </c>
      <c r="P111" s="21">
        <v>15.2</v>
      </c>
      <c r="Q111" s="7">
        <f t="shared" si="50"/>
        <v>0.04</v>
      </c>
      <c r="R111" s="11">
        <v>116505.176080637</v>
      </c>
      <c r="S111" s="7">
        <f t="shared" si="51"/>
        <v>0.17</v>
      </c>
      <c r="T111" s="11">
        <v>2912.62940201594</v>
      </c>
      <c r="U111" s="7">
        <f t="shared" si="52"/>
        <v>0.17</v>
      </c>
      <c r="V111" s="11">
        <f t="shared" si="28"/>
        <v>8.14197301709111</v>
      </c>
      <c r="W111" s="7">
        <f t="shared" si="53"/>
        <v>0.3</v>
      </c>
      <c r="X111" s="11">
        <v>10</v>
      </c>
      <c r="Y111" s="7">
        <v>0</v>
      </c>
      <c r="Z111" s="11">
        <v>68.9971346704871</v>
      </c>
      <c r="AA111" s="7">
        <f t="shared" si="54"/>
        <v>0.68</v>
      </c>
      <c r="AB111" s="12">
        <f t="shared" si="29"/>
        <v>40.7098650854556</v>
      </c>
      <c r="AC111" s="13">
        <f t="shared" si="55"/>
        <v>0.3</v>
      </c>
    </row>
    <row r="112" spans="1:29">
      <c r="A112" s="14">
        <v>45701</v>
      </c>
      <c r="B112" s="15">
        <v>298500</v>
      </c>
      <c r="C112" s="7">
        <f t="shared" si="43"/>
        <v>0.47</v>
      </c>
      <c r="D112" s="16">
        <v>212</v>
      </c>
      <c r="E112" s="7">
        <f t="shared" si="44"/>
        <v>0.47</v>
      </c>
      <c r="F112" s="17">
        <v>426</v>
      </c>
      <c r="G112" s="7">
        <f t="shared" si="45"/>
        <v>0.45</v>
      </c>
      <c r="H112" s="17">
        <v>140</v>
      </c>
      <c r="I112" s="18">
        <f t="shared" si="46"/>
        <v>0.31</v>
      </c>
      <c r="J112" s="19">
        <v>34</v>
      </c>
      <c r="K112" s="18">
        <f t="shared" si="47"/>
        <v>0.75</v>
      </c>
      <c r="L112" s="20">
        <v>6.58</v>
      </c>
      <c r="M112" s="7">
        <f t="shared" si="48"/>
        <v>0.26</v>
      </c>
      <c r="N112" s="19">
        <v>43.6</v>
      </c>
      <c r="O112" s="7">
        <f t="shared" si="49"/>
        <v>0.32</v>
      </c>
      <c r="P112" s="21">
        <v>15.3</v>
      </c>
      <c r="Q112" s="7">
        <f t="shared" si="50"/>
        <v>0.05</v>
      </c>
      <c r="R112" s="11">
        <v>102818.271151616</v>
      </c>
      <c r="S112" s="7">
        <f t="shared" si="51"/>
        <v>0.11</v>
      </c>
      <c r="T112" s="11">
        <v>2570.45677879039</v>
      </c>
      <c r="U112" s="7">
        <f t="shared" si="52"/>
        <v>0.11</v>
      </c>
      <c r="V112" s="11">
        <f t="shared" si="28"/>
        <v>12.36754893617</v>
      </c>
      <c r="W112" s="7">
        <f t="shared" si="53"/>
        <v>0.51</v>
      </c>
      <c r="X112" s="11">
        <v>10</v>
      </c>
      <c r="Y112" s="7">
        <v>0</v>
      </c>
      <c r="Z112" s="11">
        <v>49.4366197183099</v>
      </c>
      <c r="AA112" s="7">
        <f t="shared" si="54"/>
        <v>0.43</v>
      </c>
      <c r="AB112" s="12">
        <f t="shared" si="29"/>
        <v>61.8377446808499</v>
      </c>
      <c r="AC112" s="13">
        <f t="shared" si="55"/>
        <v>0.51</v>
      </c>
    </row>
    <row r="113" spans="1:29">
      <c r="A113" s="14">
        <v>45702</v>
      </c>
      <c r="B113" s="15">
        <v>294200</v>
      </c>
      <c r="C113" s="7">
        <f t="shared" si="43"/>
        <v>0.45</v>
      </c>
      <c r="D113" s="16">
        <v>208</v>
      </c>
      <c r="E113" s="7">
        <f t="shared" si="44"/>
        <v>0.46</v>
      </c>
      <c r="F113" s="17">
        <v>398</v>
      </c>
      <c r="G113" s="7">
        <f t="shared" si="45"/>
        <v>0.41</v>
      </c>
      <c r="H113" s="17">
        <v>132</v>
      </c>
      <c r="I113" s="18">
        <f t="shared" si="46"/>
        <v>0.29</v>
      </c>
      <c r="J113" s="19">
        <v>36</v>
      </c>
      <c r="K113" s="18">
        <f t="shared" si="47"/>
        <v>0.84</v>
      </c>
      <c r="L113" s="20">
        <v>6.44</v>
      </c>
      <c r="M113" s="7">
        <f t="shared" si="48"/>
        <v>0.25</v>
      </c>
      <c r="N113" s="19">
        <v>44.6</v>
      </c>
      <c r="O113" s="7">
        <f t="shared" si="49"/>
        <v>0.34</v>
      </c>
      <c r="P113" s="21">
        <v>15.5</v>
      </c>
      <c r="Q113" s="7">
        <f t="shared" si="50"/>
        <v>0.07</v>
      </c>
      <c r="R113" s="11">
        <v>94004.5733844582</v>
      </c>
      <c r="S113" s="7">
        <f t="shared" si="51"/>
        <v>0.07</v>
      </c>
      <c r="T113" s="11">
        <v>2350.11433461145</v>
      </c>
      <c r="U113" s="7">
        <f t="shared" si="52"/>
        <v>0.07</v>
      </c>
      <c r="V113" s="11">
        <f t="shared" si="28"/>
        <v>12.4559471719659</v>
      </c>
      <c r="W113" s="7">
        <f t="shared" si="53"/>
        <v>0.52</v>
      </c>
      <c r="X113" s="11">
        <v>10</v>
      </c>
      <c r="Y113" s="7">
        <v>0</v>
      </c>
      <c r="Z113" s="11">
        <v>51.8341708542714</v>
      </c>
      <c r="AA113" s="7">
        <f t="shared" si="54"/>
        <v>0.46</v>
      </c>
      <c r="AB113" s="12">
        <f t="shared" si="29"/>
        <v>62.2797358598295</v>
      </c>
      <c r="AC113" s="13">
        <f t="shared" si="55"/>
        <v>0.52</v>
      </c>
    </row>
    <row r="114" spans="1:29">
      <c r="A114" s="14">
        <v>45703</v>
      </c>
      <c r="B114" s="15">
        <v>295300</v>
      </c>
      <c r="C114" s="7">
        <f t="shared" si="43"/>
        <v>0.45</v>
      </c>
      <c r="D114" s="16">
        <v>168</v>
      </c>
      <c r="E114" s="7">
        <f t="shared" si="44"/>
        <v>0.32</v>
      </c>
      <c r="F114" s="17">
        <v>357</v>
      </c>
      <c r="G114" s="7">
        <f t="shared" si="45"/>
        <v>0.33</v>
      </c>
      <c r="H114" s="17">
        <v>160</v>
      </c>
      <c r="I114" s="18">
        <f t="shared" si="46"/>
        <v>0.36</v>
      </c>
      <c r="J114" s="19">
        <v>37.8</v>
      </c>
      <c r="K114" s="18">
        <f t="shared" si="47"/>
        <v>0.93</v>
      </c>
      <c r="L114" s="20">
        <v>4.22</v>
      </c>
      <c r="M114" s="7">
        <f t="shared" si="48"/>
        <v>0.13</v>
      </c>
      <c r="N114" s="19">
        <v>45.1</v>
      </c>
      <c r="O114" s="7">
        <f t="shared" si="49"/>
        <v>0.35</v>
      </c>
      <c r="P114" s="21">
        <v>15.5</v>
      </c>
      <c r="Q114" s="7">
        <f t="shared" si="50"/>
        <v>0.07</v>
      </c>
      <c r="R114" s="11">
        <v>89656.8003008021</v>
      </c>
      <c r="S114" s="7">
        <f t="shared" si="51"/>
        <v>0.05</v>
      </c>
      <c r="T114" s="11">
        <v>2241.42000752005</v>
      </c>
      <c r="U114" s="7">
        <f t="shared" si="52"/>
        <v>0.05</v>
      </c>
      <c r="V114" s="11">
        <f t="shared" si="28"/>
        <v>11.7584053464216</v>
      </c>
      <c r="W114" s="7">
        <f t="shared" si="53"/>
        <v>0.48</v>
      </c>
      <c r="X114" s="11">
        <v>10</v>
      </c>
      <c r="Y114" s="7">
        <v>0</v>
      </c>
      <c r="Z114" s="11">
        <v>46.6386554621849</v>
      </c>
      <c r="AA114" s="7">
        <f t="shared" si="54"/>
        <v>0.4</v>
      </c>
      <c r="AB114" s="12">
        <f t="shared" si="29"/>
        <v>58.7920267321078</v>
      </c>
      <c r="AC114" s="13">
        <f t="shared" si="55"/>
        <v>0.48</v>
      </c>
    </row>
    <row r="115" spans="1:29">
      <c r="A115" s="14">
        <v>45704</v>
      </c>
      <c r="B115" s="15">
        <v>291100</v>
      </c>
      <c r="C115" s="7">
        <f t="shared" si="43"/>
        <v>0.43</v>
      </c>
      <c r="D115" s="16">
        <v>148</v>
      </c>
      <c r="E115" s="7">
        <f t="shared" si="44"/>
        <v>0.25</v>
      </c>
      <c r="F115" s="17">
        <v>325</v>
      </c>
      <c r="G115" s="7">
        <f t="shared" si="45"/>
        <v>0.28</v>
      </c>
      <c r="H115" s="17">
        <v>96</v>
      </c>
      <c r="I115" s="18">
        <f t="shared" si="46"/>
        <v>0.2</v>
      </c>
      <c r="J115" s="19">
        <v>31.1</v>
      </c>
      <c r="K115" s="18">
        <f t="shared" si="47"/>
        <v>0.62</v>
      </c>
      <c r="L115" s="20">
        <v>6.32</v>
      </c>
      <c r="M115" s="7">
        <f t="shared" si="48"/>
        <v>0.25</v>
      </c>
      <c r="N115" s="19">
        <v>45.8</v>
      </c>
      <c r="O115" s="7">
        <f t="shared" si="49"/>
        <v>0.37</v>
      </c>
      <c r="P115" s="21">
        <v>15.5</v>
      </c>
      <c r="Q115" s="7">
        <f t="shared" si="50"/>
        <v>0.07</v>
      </c>
      <c r="R115" s="11">
        <v>97142.2357409468</v>
      </c>
      <c r="S115" s="7">
        <f t="shared" si="51"/>
        <v>0.08</v>
      </c>
      <c r="T115" s="11">
        <v>2428.55589352367</v>
      </c>
      <c r="U115" s="7">
        <f t="shared" si="52"/>
        <v>0.08</v>
      </c>
      <c r="V115" s="11">
        <f t="shared" si="28"/>
        <v>9.73906965166971</v>
      </c>
      <c r="W115" s="7">
        <f t="shared" si="53"/>
        <v>0.38</v>
      </c>
      <c r="X115" s="11">
        <v>10</v>
      </c>
      <c r="Y115" s="7">
        <v>0</v>
      </c>
      <c r="Z115" s="11">
        <v>45.1076923076923</v>
      </c>
      <c r="AA115" s="7">
        <f t="shared" si="54"/>
        <v>0.38</v>
      </c>
      <c r="AB115" s="12">
        <f t="shared" si="29"/>
        <v>48.6953482583486</v>
      </c>
      <c r="AC115" s="13">
        <f t="shared" si="55"/>
        <v>0.38</v>
      </c>
    </row>
    <row r="116" spans="1:29">
      <c r="A116" s="14">
        <v>45705</v>
      </c>
      <c r="B116" s="15">
        <v>300100</v>
      </c>
      <c r="C116" s="7">
        <f t="shared" si="43"/>
        <v>0.47</v>
      </c>
      <c r="D116" s="16">
        <v>112</v>
      </c>
      <c r="E116" s="7">
        <f t="shared" si="44"/>
        <v>0.13</v>
      </c>
      <c r="F116" s="17">
        <v>275</v>
      </c>
      <c r="G116" s="7">
        <f t="shared" si="45"/>
        <v>0.19</v>
      </c>
      <c r="H116" s="17">
        <v>116</v>
      </c>
      <c r="I116" s="18">
        <f t="shared" si="46"/>
        <v>0.25</v>
      </c>
      <c r="J116" s="19">
        <v>32.2</v>
      </c>
      <c r="K116" s="18">
        <f t="shared" si="47"/>
        <v>0.67</v>
      </c>
      <c r="L116" s="20">
        <v>3.58</v>
      </c>
      <c r="M116" s="7">
        <f t="shared" si="48"/>
        <v>0.09</v>
      </c>
      <c r="N116" s="19">
        <v>38</v>
      </c>
      <c r="O116" s="7">
        <f t="shared" si="49"/>
        <v>0.22</v>
      </c>
      <c r="P116" s="21">
        <v>15.6</v>
      </c>
      <c r="Q116" s="7">
        <f t="shared" si="50"/>
        <v>0.08</v>
      </c>
      <c r="R116" s="11">
        <v>87037.967646045</v>
      </c>
      <c r="S116" s="7">
        <f t="shared" si="51"/>
        <v>0.03</v>
      </c>
      <c r="T116" s="11">
        <v>2175.94919115113</v>
      </c>
      <c r="U116" s="7">
        <f t="shared" si="52"/>
        <v>0.03</v>
      </c>
      <c r="V116" s="11">
        <f t="shared" si="28"/>
        <v>9.48178159853321</v>
      </c>
      <c r="W116" s="7">
        <f t="shared" si="53"/>
        <v>0.37</v>
      </c>
      <c r="X116" s="11">
        <v>10</v>
      </c>
      <c r="Y116" s="7">
        <v>0</v>
      </c>
      <c r="Z116" s="11">
        <v>40.4363636363636</v>
      </c>
      <c r="AA116" s="7">
        <f t="shared" si="54"/>
        <v>0.32</v>
      </c>
      <c r="AB116" s="12">
        <f t="shared" si="29"/>
        <v>47.408907992666</v>
      </c>
      <c r="AC116" s="13">
        <f t="shared" si="55"/>
        <v>0.37</v>
      </c>
    </row>
    <row r="117" spans="1:29">
      <c r="A117" s="14">
        <v>45706</v>
      </c>
      <c r="B117" s="15">
        <v>299800</v>
      </c>
      <c r="C117" s="7">
        <f t="shared" si="43"/>
        <v>0.47</v>
      </c>
      <c r="D117" s="16">
        <v>161</v>
      </c>
      <c r="E117" s="7">
        <f t="shared" si="44"/>
        <v>0.3</v>
      </c>
      <c r="F117" s="17">
        <v>256</v>
      </c>
      <c r="G117" s="7">
        <f t="shared" si="45"/>
        <v>0.16</v>
      </c>
      <c r="H117" s="17">
        <v>104</v>
      </c>
      <c r="I117" s="18">
        <f t="shared" si="46"/>
        <v>0.22</v>
      </c>
      <c r="J117" s="19">
        <v>26.5</v>
      </c>
      <c r="K117" s="18">
        <f t="shared" si="47"/>
        <v>0.41</v>
      </c>
      <c r="L117" s="20">
        <v>4.82</v>
      </c>
      <c r="M117" s="7">
        <f t="shared" si="48"/>
        <v>0.16</v>
      </c>
      <c r="N117" s="19">
        <v>38.5</v>
      </c>
      <c r="O117" s="7">
        <f t="shared" si="49"/>
        <v>0.23</v>
      </c>
      <c r="P117" s="21">
        <v>15.8</v>
      </c>
      <c r="Q117" s="7">
        <f t="shared" si="50"/>
        <v>0.09</v>
      </c>
      <c r="R117" s="11">
        <v>89450.1664931087</v>
      </c>
      <c r="S117" s="7">
        <f t="shared" si="51"/>
        <v>0.04</v>
      </c>
      <c r="T117" s="11">
        <v>2236.25416232772</v>
      </c>
      <c r="U117" s="7">
        <f t="shared" si="52"/>
        <v>0.04</v>
      </c>
      <c r="V117" s="11">
        <f t="shared" si="28"/>
        <v>8.58006228595591</v>
      </c>
      <c r="W117" s="7">
        <f t="shared" si="53"/>
        <v>0.32</v>
      </c>
      <c r="X117" s="11">
        <v>10</v>
      </c>
      <c r="Y117" s="7">
        <v>0</v>
      </c>
      <c r="Z117" s="11">
        <v>62.421875</v>
      </c>
      <c r="AA117" s="7">
        <f t="shared" si="54"/>
        <v>0.6</v>
      </c>
      <c r="AB117" s="12">
        <f t="shared" si="29"/>
        <v>42.9003114297796</v>
      </c>
      <c r="AC117" s="13">
        <f t="shared" si="55"/>
        <v>0.32</v>
      </c>
    </row>
    <row r="118" spans="1:29">
      <c r="A118" s="14">
        <v>45707</v>
      </c>
      <c r="B118" s="15">
        <v>292500</v>
      </c>
      <c r="C118" s="7">
        <f t="shared" si="43"/>
        <v>0.44</v>
      </c>
      <c r="D118" s="16">
        <v>110</v>
      </c>
      <c r="E118" s="7">
        <f t="shared" si="44"/>
        <v>0.12</v>
      </c>
      <c r="F118" s="17">
        <v>209</v>
      </c>
      <c r="G118" s="7">
        <f t="shared" si="45"/>
        <v>0.08</v>
      </c>
      <c r="H118" s="17">
        <v>140</v>
      </c>
      <c r="I118" s="18">
        <f t="shared" si="46"/>
        <v>0.31</v>
      </c>
      <c r="J118" s="19">
        <v>26.8</v>
      </c>
      <c r="K118" s="18">
        <f t="shared" si="47"/>
        <v>0.42</v>
      </c>
      <c r="L118" s="20">
        <v>5.08</v>
      </c>
      <c r="M118" s="7">
        <f t="shared" si="48"/>
        <v>0.18</v>
      </c>
      <c r="N118" s="19">
        <v>35.4</v>
      </c>
      <c r="O118" s="7">
        <f t="shared" si="49"/>
        <v>0.17</v>
      </c>
      <c r="P118" s="21">
        <v>15.8</v>
      </c>
      <c r="Q118" s="7">
        <f t="shared" si="50"/>
        <v>0.09</v>
      </c>
      <c r="R118" s="11">
        <v>101327.176867114</v>
      </c>
      <c r="S118" s="7">
        <f t="shared" si="51"/>
        <v>0.1</v>
      </c>
      <c r="T118" s="11">
        <v>2533.17942167786</v>
      </c>
      <c r="U118" s="7">
        <f t="shared" si="52"/>
        <v>0.1</v>
      </c>
      <c r="V118" s="11">
        <f t="shared" si="28"/>
        <v>6.03317904338461</v>
      </c>
      <c r="W118" s="7">
        <f t="shared" si="53"/>
        <v>0.19</v>
      </c>
      <c r="X118" s="11">
        <v>10</v>
      </c>
      <c r="Y118" s="7">
        <v>0</v>
      </c>
      <c r="Z118" s="11">
        <v>51.9617224880383</v>
      </c>
      <c r="AA118" s="7">
        <f t="shared" si="54"/>
        <v>0.47</v>
      </c>
      <c r="AB118" s="12">
        <f t="shared" si="29"/>
        <v>30.165895216923</v>
      </c>
      <c r="AC118" s="13">
        <f t="shared" si="55"/>
        <v>0.19</v>
      </c>
    </row>
    <row r="119" spans="1:29">
      <c r="A119" s="14">
        <v>45708</v>
      </c>
      <c r="B119" s="15">
        <v>297500</v>
      </c>
      <c r="C119" s="7">
        <f t="shared" si="43"/>
        <v>0.46</v>
      </c>
      <c r="D119" s="16">
        <v>200</v>
      </c>
      <c r="E119" s="7">
        <f t="shared" si="44"/>
        <v>0.43</v>
      </c>
      <c r="F119" s="17">
        <v>357</v>
      </c>
      <c r="G119" s="7">
        <f t="shared" si="45"/>
        <v>0.33</v>
      </c>
      <c r="H119" s="17">
        <v>148</v>
      </c>
      <c r="I119" s="18">
        <f t="shared" si="46"/>
        <v>0.33</v>
      </c>
      <c r="J119" s="19">
        <v>32.6</v>
      </c>
      <c r="K119" s="18">
        <f t="shared" si="47"/>
        <v>0.69</v>
      </c>
      <c r="L119" s="20">
        <v>5.58</v>
      </c>
      <c r="M119" s="7">
        <f t="shared" si="48"/>
        <v>0.21</v>
      </c>
      <c r="N119" s="19">
        <v>35.5</v>
      </c>
      <c r="O119" s="7">
        <f t="shared" si="49"/>
        <v>0.17</v>
      </c>
      <c r="P119" s="21">
        <v>15.7</v>
      </c>
      <c r="Q119" s="7">
        <f t="shared" si="50"/>
        <v>0.08</v>
      </c>
      <c r="R119" s="11">
        <v>113377.933746804</v>
      </c>
      <c r="S119" s="7">
        <f t="shared" si="51"/>
        <v>0.16</v>
      </c>
      <c r="T119" s="11">
        <v>2834.44834367011</v>
      </c>
      <c r="U119" s="7">
        <f t="shared" si="52"/>
        <v>0.16</v>
      </c>
      <c r="V119" s="11">
        <f t="shared" si="28"/>
        <v>9.36756355404947</v>
      </c>
      <c r="W119" s="7">
        <f t="shared" si="53"/>
        <v>0.36</v>
      </c>
      <c r="X119" s="11">
        <v>10</v>
      </c>
      <c r="Y119" s="7">
        <v>0</v>
      </c>
      <c r="Z119" s="11">
        <v>55.7422969187675</v>
      </c>
      <c r="AA119" s="7">
        <f t="shared" si="54"/>
        <v>0.51</v>
      </c>
      <c r="AB119" s="12">
        <f t="shared" si="29"/>
        <v>46.8378177702473</v>
      </c>
      <c r="AC119" s="13">
        <f t="shared" si="55"/>
        <v>0.36</v>
      </c>
    </row>
    <row r="120" spans="1:29">
      <c r="A120" s="14">
        <v>45709</v>
      </c>
      <c r="B120" s="15">
        <v>276600</v>
      </c>
      <c r="C120" s="7">
        <f t="shared" si="43"/>
        <v>0.37</v>
      </c>
      <c r="D120" s="16">
        <v>183</v>
      </c>
      <c r="E120" s="7">
        <f t="shared" si="44"/>
        <v>0.37</v>
      </c>
      <c r="F120" s="17">
        <v>332</v>
      </c>
      <c r="G120" s="7">
        <f t="shared" si="45"/>
        <v>0.29</v>
      </c>
      <c r="H120" s="17">
        <v>132</v>
      </c>
      <c r="I120" s="18">
        <f t="shared" si="46"/>
        <v>0.29</v>
      </c>
      <c r="J120" s="19">
        <v>35.2</v>
      </c>
      <c r="K120" s="18">
        <f t="shared" si="47"/>
        <v>0.81</v>
      </c>
      <c r="L120" s="20">
        <v>5.9</v>
      </c>
      <c r="M120" s="7">
        <f t="shared" si="48"/>
        <v>0.22</v>
      </c>
      <c r="N120" s="19">
        <v>41.8</v>
      </c>
      <c r="O120" s="7">
        <f t="shared" si="49"/>
        <v>0.29</v>
      </c>
      <c r="P120" s="21">
        <v>15.7</v>
      </c>
      <c r="Q120" s="7">
        <f t="shared" si="50"/>
        <v>0.08</v>
      </c>
      <c r="R120" s="11">
        <v>103167.117168675</v>
      </c>
      <c r="S120" s="7">
        <f t="shared" si="51"/>
        <v>0.11</v>
      </c>
      <c r="T120" s="11">
        <v>2579.17792921687</v>
      </c>
      <c r="U120" s="7">
        <f t="shared" si="52"/>
        <v>0.11</v>
      </c>
      <c r="V120" s="11">
        <f t="shared" si="28"/>
        <v>8.90120830359727</v>
      </c>
      <c r="W120" s="7">
        <f t="shared" si="53"/>
        <v>0.34</v>
      </c>
      <c r="X120" s="11">
        <v>10</v>
      </c>
      <c r="Y120" s="7">
        <v>0</v>
      </c>
      <c r="Z120" s="11">
        <v>54.7590361445783</v>
      </c>
      <c r="AA120" s="7">
        <f t="shared" si="54"/>
        <v>0.5</v>
      </c>
      <c r="AB120" s="12">
        <f t="shared" si="29"/>
        <v>44.5060415179863</v>
      </c>
      <c r="AC120" s="13">
        <f t="shared" si="55"/>
        <v>0.34</v>
      </c>
    </row>
    <row r="121" spans="1:29">
      <c r="A121" s="14">
        <v>45710</v>
      </c>
      <c r="B121" s="15">
        <v>285900</v>
      </c>
      <c r="C121" s="7">
        <f t="shared" si="43"/>
        <v>0.41</v>
      </c>
      <c r="D121" s="16">
        <v>150</v>
      </c>
      <c r="E121" s="7">
        <f t="shared" si="44"/>
        <v>0.26</v>
      </c>
      <c r="F121" s="17">
        <v>307</v>
      </c>
      <c r="G121" s="7">
        <f t="shared" si="45"/>
        <v>0.25</v>
      </c>
      <c r="H121" s="17">
        <v>108</v>
      </c>
      <c r="I121" s="18">
        <f t="shared" si="46"/>
        <v>0.23</v>
      </c>
      <c r="J121" s="19">
        <v>36.1</v>
      </c>
      <c r="K121" s="18">
        <f t="shared" si="47"/>
        <v>0.85</v>
      </c>
      <c r="L121" s="20">
        <v>4.5</v>
      </c>
      <c r="M121" s="7">
        <f t="shared" si="48"/>
        <v>0.14</v>
      </c>
      <c r="N121" s="19">
        <v>45</v>
      </c>
      <c r="O121" s="7">
        <f t="shared" si="49"/>
        <v>0.35</v>
      </c>
      <c r="P121" s="21">
        <v>15.7</v>
      </c>
      <c r="Q121" s="7">
        <f t="shared" si="50"/>
        <v>0.08</v>
      </c>
      <c r="R121" s="11">
        <v>86647.7288829728</v>
      </c>
      <c r="S121" s="7">
        <f t="shared" si="51"/>
        <v>0.03</v>
      </c>
      <c r="T121" s="11">
        <v>2166.19322207432</v>
      </c>
      <c r="U121" s="7">
        <f t="shared" si="52"/>
        <v>0.03</v>
      </c>
      <c r="V121" s="11">
        <f t="shared" si="28"/>
        <v>10.1296711560143</v>
      </c>
      <c r="W121" s="7">
        <f t="shared" si="53"/>
        <v>0.4</v>
      </c>
      <c r="X121" s="11">
        <v>10</v>
      </c>
      <c r="Y121" s="7">
        <v>0</v>
      </c>
      <c r="Z121" s="11">
        <v>48.4364820846905</v>
      </c>
      <c r="AA121" s="7">
        <f t="shared" si="54"/>
        <v>0.42</v>
      </c>
      <c r="AB121" s="12">
        <f t="shared" si="29"/>
        <v>50.6483557800717</v>
      </c>
      <c r="AC121" s="13">
        <f t="shared" si="55"/>
        <v>0.4</v>
      </c>
    </row>
    <row r="122" spans="1:29">
      <c r="A122" s="14">
        <v>45711</v>
      </c>
      <c r="B122" s="15">
        <v>286000</v>
      </c>
      <c r="C122" s="7">
        <f t="shared" si="43"/>
        <v>0.41</v>
      </c>
      <c r="D122" s="16">
        <v>148</v>
      </c>
      <c r="E122" s="7">
        <f t="shared" si="44"/>
        <v>0.25</v>
      </c>
      <c r="F122" s="17">
        <v>307</v>
      </c>
      <c r="G122" s="7">
        <f t="shared" si="45"/>
        <v>0.25</v>
      </c>
      <c r="H122" s="17">
        <v>160</v>
      </c>
      <c r="I122" s="18">
        <f t="shared" si="46"/>
        <v>0.36</v>
      </c>
      <c r="J122" s="19">
        <v>31.4</v>
      </c>
      <c r="K122" s="18">
        <f t="shared" si="47"/>
        <v>0.63</v>
      </c>
      <c r="L122" s="20">
        <v>6.34</v>
      </c>
      <c r="M122" s="7">
        <f t="shared" si="48"/>
        <v>0.25</v>
      </c>
      <c r="N122" s="19">
        <v>35.6</v>
      </c>
      <c r="O122" s="7">
        <f t="shared" si="49"/>
        <v>0.17</v>
      </c>
      <c r="P122" s="21">
        <v>15.8</v>
      </c>
      <c r="Q122" s="7">
        <f t="shared" si="50"/>
        <v>0.09</v>
      </c>
      <c r="R122" s="11">
        <v>98684.0249884092</v>
      </c>
      <c r="S122" s="7">
        <f t="shared" si="51"/>
        <v>0.09</v>
      </c>
      <c r="T122" s="11">
        <v>2467.10062471023</v>
      </c>
      <c r="U122" s="7">
        <f t="shared" si="52"/>
        <v>0.09</v>
      </c>
      <c r="V122" s="11">
        <f t="shared" si="28"/>
        <v>8.89728606127615</v>
      </c>
      <c r="W122" s="7">
        <f t="shared" si="53"/>
        <v>0.34</v>
      </c>
      <c r="X122" s="11">
        <v>10</v>
      </c>
      <c r="Y122" s="7">
        <v>0</v>
      </c>
      <c r="Z122" s="11">
        <v>47.8501628664495</v>
      </c>
      <c r="AA122" s="7">
        <f t="shared" si="54"/>
        <v>0.41</v>
      </c>
      <c r="AB122" s="12">
        <f t="shared" si="29"/>
        <v>44.4864303063807</v>
      </c>
      <c r="AC122" s="13">
        <f t="shared" si="55"/>
        <v>0.34</v>
      </c>
    </row>
    <row r="123" spans="1:29">
      <c r="A123" s="14">
        <v>45712</v>
      </c>
      <c r="B123" s="15">
        <v>274100</v>
      </c>
      <c r="C123" s="7">
        <f t="shared" si="43"/>
        <v>0.36</v>
      </c>
      <c r="D123" s="16">
        <v>142</v>
      </c>
      <c r="E123" s="7">
        <f t="shared" si="44"/>
        <v>0.23</v>
      </c>
      <c r="F123" s="17">
        <v>279</v>
      </c>
      <c r="G123" s="7">
        <f t="shared" si="45"/>
        <v>0.2</v>
      </c>
      <c r="H123" s="17">
        <v>132</v>
      </c>
      <c r="I123" s="18">
        <f t="shared" si="46"/>
        <v>0.29</v>
      </c>
      <c r="J123" s="19">
        <v>34.8</v>
      </c>
      <c r="K123" s="18">
        <f t="shared" si="47"/>
        <v>0.79</v>
      </c>
      <c r="L123" s="20">
        <v>4.88</v>
      </c>
      <c r="M123" s="7">
        <f t="shared" si="48"/>
        <v>0.17</v>
      </c>
      <c r="N123" s="19">
        <v>37.4</v>
      </c>
      <c r="O123" s="7">
        <f t="shared" si="49"/>
        <v>0.2</v>
      </c>
      <c r="P123" s="21">
        <v>15.8</v>
      </c>
      <c r="Q123" s="7">
        <f t="shared" si="50"/>
        <v>0.09</v>
      </c>
      <c r="R123" s="11">
        <v>87436.453790629</v>
      </c>
      <c r="S123" s="7">
        <f t="shared" si="51"/>
        <v>0.03</v>
      </c>
      <c r="T123" s="11">
        <v>2185.91134476573</v>
      </c>
      <c r="U123" s="7">
        <f t="shared" si="52"/>
        <v>0.03</v>
      </c>
      <c r="V123" s="11">
        <f t="shared" si="28"/>
        <v>8.74622616593308</v>
      </c>
      <c r="W123" s="7">
        <f t="shared" si="53"/>
        <v>0.33</v>
      </c>
      <c r="X123" s="11">
        <v>10</v>
      </c>
      <c r="Y123" s="7">
        <v>0</v>
      </c>
      <c r="Z123" s="11">
        <v>50.4659498207885</v>
      </c>
      <c r="AA123" s="7">
        <f t="shared" si="54"/>
        <v>0.45</v>
      </c>
      <c r="AB123" s="12">
        <f t="shared" si="29"/>
        <v>43.7311308296654</v>
      </c>
      <c r="AC123" s="13">
        <f t="shared" si="55"/>
        <v>0.33</v>
      </c>
    </row>
    <row r="124" spans="1:29">
      <c r="A124" s="14">
        <v>45713</v>
      </c>
      <c r="B124" s="15">
        <v>266300</v>
      </c>
      <c r="C124" s="7">
        <f t="shared" si="43"/>
        <v>0.32</v>
      </c>
      <c r="D124" s="16">
        <v>137</v>
      </c>
      <c r="E124" s="7">
        <f t="shared" si="44"/>
        <v>0.22</v>
      </c>
      <c r="F124" s="17">
        <v>245</v>
      </c>
      <c r="G124" s="7">
        <f t="shared" si="45"/>
        <v>0.14</v>
      </c>
      <c r="H124" s="17">
        <v>108</v>
      </c>
      <c r="I124" s="18">
        <f t="shared" si="46"/>
        <v>0.23</v>
      </c>
      <c r="J124" s="19">
        <v>29.1</v>
      </c>
      <c r="K124" s="18">
        <f t="shared" si="47"/>
        <v>0.53</v>
      </c>
      <c r="L124" s="20">
        <v>5.4</v>
      </c>
      <c r="M124" s="7">
        <f t="shared" si="48"/>
        <v>0.2</v>
      </c>
      <c r="N124" s="19">
        <v>44.1</v>
      </c>
      <c r="O124" s="7">
        <f t="shared" si="49"/>
        <v>0.33</v>
      </c>
      <c r="P124" s="21">
        <v>15.9</v>
      </c>
      <c r="Q124" s="7">
        <f t="shared" si="50"/>
        <v>0.1</v>
      </c>
      <c r="R124" s="11">
        <v>103569.249015262</v>
      </c>
      <c r="S124" s="7">
        <f t="shared" si="51"/>
        <v>0.11</v>
      </c>
      <c r="T124" s="11">
        <v>2589.23122538154</v>
      </c>
      <c r="U124" s="7">
        <f t="shared" si="52"/>
        <v>0.11</v>
      </c>
      <c r="V124" s="11">
        <f t="shared" si="28"/>
        <v>6.29950498051656</v>
      </c>
      <c r="W124" s="7">
        <f t="shared" si="53"/>
        <v>0.2</v>
      </c>
      <c r="X124" s="11">
        <v>10</v>
      </c>
      <c r="Y124" s="7">
        <v>0</v>
      </c>
      <c r="Z124" s="11">
        <v>55.1836734693878</v>
      </c>
      <c r="AA124" s="7">
        <f t="shared" si="54"/>
        <v>0.51</v>
      </c>
      <c r="AB124" s="12">
        <f t="shared" si="29"/>
        <v>31.4975249025828</v>
      </c>
      <c r="AC124" s="13">
        <f t="shared" si="55"/>
        <v>0.2</v>
      </c>
    </row>
    <row r="125" spans="1:29">
      <c r="A125" s="14">
        <v>45714</v>
      </c>
      <c r="B125" s="15">
        <v>275200</v>
      </c>
      <c r="C125" s="7">
        <f t="shared" si="43"/>
        <v>0.36</v>
      </c>
      <c r="D125" s="16">
        <v>367</v>
      </c>
      <c r="E125" s="7">
        <f t="shared" si="44"/>
        <v>1</v>
      </c>
      <c r="F125" s="17">
        <v>740</v>
      </c>
      <c r="G125" s="7">
        <f t="shared" si="45"/>
        <v>1</v>
      </c>
      <c r="H125" s="17">
        <v>332</v>
      </c>
      <c r="I125" s="18">
        <f t="shared" si="46"/>
        <v>0.77</v>
      </c>
      <c r="J125" s="19">
        <v>29.2</v>
      </c>
      <c r="K125" s="18">
        <f t="shared" si="47"/>
        <v>0.53</v>
      </c>
      <c r="L125" s="20">
        <v>19.6</v>
      </c>
      <c r="M125" s="7">
        <f t="shared" si="48"/>
        <v>1</v>
      </c>
      <c r="N125" s="19">
        <v>36.8</v>
      </c>
      <c r="O125" s="7">
        <f t="shared" si="49"/>
        <v>0.19</v>
      </c>
      <c r="P125" s="21">
        <v>15.8</v>
      </c>
      <c r="Q125" s="7">
        <f t="shared" si="50"/>
        <v>0.09</v>
      </c>
      <c r="R125" s="11">
        <v>92732.7367763378</v>
      </c>
      <c r="S125" s="7">
        <f t="shared" si="51"/>
        <v>0.06</v>
      </c>
      <c r="T125" s="11">
        <v>2318.31841940844</v>
      </c>
      <c r="U125" s="7">
        <f t="shared" si="52"/>
        <v>0.06</v>
      </c>
      <c r="V125" s="11">
        <f t="shared" si="28"/>
        <v>21.9607451563928</v>
      </c>
      <c r="W125" s="7">
        <f t="shared" si="53"/>
        <v>1</v>
      </c>
      <c r="X125" s="11">
        <v>10</v>
      </c>
      <c r="Y125" s="7">
        <v>0</v>
      </c>
      <c r="Z125" s="11">
        <v>49.3918918918919</v>
      </c>
      <c r="AA125" s="7">
        <f t="shared" si="54"/>
        <v>0.43</v>
      </c>
      <c r="AB125" s="12">
        <f t="shared" si="29"/>
        <v>109.803725781964</v>
      </c>
      <c r="AC125" s="13">
        <f t="shared" si="55"/>
        <v>1</v>
      </c>
    </row>
    <row r="126" spans="1:29">
      <c r="A126" s="14">
        <v>45715</v>
      </c>
      <c r="B126" s="15">
        <v>287200</v>
      </c>
      <c r="C126" s="7">
        <f t="shared" si="43"/>
        <v>0.42</v>
      </c>
      <c r="D126" s="16">
        <v>174</v>
      </c>
      <c r="E126" s="7">
        <f t="shared" si="44"/>
        <v>0.34</v>
      </c>
      <c r="F126" s="17">
        <v>314</v>
      </c>
      <c r="G126" s="7">
        <f t="shared" si="45"/>
        <v>0.26</v>
      </c>
      <c r="H126" s="17">
        <v>140</v>
      </c>
      <c r="I126" s="18">
        <f t="shared" si="46"/>
        <v>0.31</v>
      </c>
      <c r="J126" s="19">
        <v>31.1</v>
      </c>
      <c r="K126" s="18">
        <f t="shared" si="47"/>
        <v>0.62</v>
      </c>
      <c r="L126" s="20">
        <v>5.96</v>
      </c>
      <c r="M126" s="7">
        <f t="shared" si="48"/>
        <v>0.23</v>
      </c>
      <c r="N126" s="19">
        <v>36.2</v>
      </c>
      <c r="O126" s="7">
        <f t="shared" si="49"/>
        <v>0.18</v>
      </c>
      <c r="P126" s="21">
        <v>15.8</v>
      </c>
      <c r="Q126" s="7">
        <f t="shared" si="50"/>
        <v>0.09</v>
      </c>
      <c r="R126" s="11">
        <v>102165.543839567</v>
      </c>
      <c r="S126" s="7">
        <f t="shared" si="51"/>
        <v>0.1</v>
      </c>
      <c r="T126" s="11">
        <v>2554.13859598919</v>
      </c>
      <c r="U126" s="7">
        <f t="shared" si="52"/>
        <v>0.1</v>
      </c>
      <c r="V126" s="11">
        <f t="shared" si="28"/>
        <v>8.8269289831817</v>
      </c>
      <c r="W126" s="7">
        <f t="shared" si="53"/>
        <v>0.33</v>
      </c>
      <c r="X126" s="11">
        <v>10</v>
      </c>
      <c r="Y126" s="7">
        <v>0</v>
      </c>
      <c r="Z126" s="11">
        <v>54.9044585987261</v>
      </c>
      <c r="AA126" s="7">
        <f t="shared" si="54"/>
        <v>0.5</v>
      </c>
      <c r="AB126" s="12">
        <f t="shared" si="29"/>
        <v>44.1346449159085</v>
      </c>
      <c r="AC126" s="13">
        <f t="shared" si="55"/>
        <v>0.33</v>
      </c>
    </row>
    <row r="127" spans="1:29">
      <c r="A127" s="14">
        <v>45716</v>
      </c>
      <c r="B127" s="15">
        <v>295800</v>
      </c>
      <c r="C127" s="7">
        <f t="shared" si="43"/>
        <v>0.45</v>
      </c>
      <c r="D127" s="16">
        <v>150</v>
      </c>
      <c r="E127" s="7">
        <f t="shared" si="44"/>
        <v>0.26</v>
      </c>
      <c r="F127" s="17">
        <v>286</v>
      </c>
      <c r="G127" s="7">
        <f t="shared" si="45"/>
        <v>0.21</v>
      </c>
      <c r="H127" s="17">
        <v>128</v>
      </c>
      <c r="I127" s="18">
        <f t="shared" si="46"/>
        <v>0.28</v>
      </c>
      <c r="J127" s="19">
        <v>30.1</v>
      </c>
      <c r="K127" s="18">
        <f t="shared" si="47"/>
        <v>0.57</v>
      </c>
      <c r="L127" s="20">
        <v>5.66</v>
      </c>
      <c r="M127" s="7">
        <f t="shared" si="48"/>
        <v>0.21</v>
      </c>
      <c r="N127" s="19">
        <v>39.4</v>
      </c>
      <c r="O127" s="7">
        <f t="shared" si="49"/>
        <v>0.24</v>
      </c>
      <c r="P127" s="21">
        <v>15.8</v>
      </c>
      <c r="Q127" s="7">
        <f t="shared" si="50"/>
        <v>0.09</v>
      </c>
      <c r="R127" s="11">
        <v>148468.501819291</v>
      </c>
      <c r="S127" s="7">
        <f t="shared" si="51"/>
        <v>0.32</v>
      </c>
      <c r="T127" s="11">
        <v>3711.71254548227</v>
      </c>
      <c r="U127" s="7">
        <f t="shared" si="52"/>
        <v>0.32</v>
      </c>
      <c r="V127" s="11">
        <f t="shared" si="28"/>
        <v>5.69809750643068</v>
      </c>
      <c r="W127" s="7">
        <f t="shared" si="53"/>
        <v>0.17</v>
      </c>
      <c r="X127" s="11">
        <v>10</v>
      </c>
      <c r="Y127" s="7">
        <v>0</v>
      </c>
      <c r="Z127" s="11">
        <v>51.993006993007</v>
      </c>
      <c r="AA127" s="7">
        <f t="shared" si="54"/>
        <v>0.47</v>
      </c>
      <c r="AB127" s="12">
        <f t="shared" si="29"/>
        <v>28.4904875321534</v>
      </c>
      <c r="AC127" s="13">
        <f t="shared" si="55"/>
        <v>0.17</v>
      </c>
    </row>
    <row r="128" spans="1:29">
      <c r="A128" s="14">
        <v>45717</v>
      </c>
      <c r="B128" s="15">
        <v>309000</v>
      </c>
      <c r="C128" s="7">
        <f t="shared" si="43"/>
        <v>0.51</v>
      </c>
      <c r="D128" s="16">
        <v>200</v>
      </c>
      <c r="E128" s="7">
        <f t="shared" si="44"/>
        <v>0.43</v>
      </c>
      <c r="F128" s="17">
        <v>367</v>
      </c>
      <c r="G128" s="7">
        <f t="shared" si="45"/>
        <v>0.35</v>
      </c>
      <c r="H128" s="17">
        <v>212</v>
      </c>
      <c r="I128" s="18">
        <f t="shared" si="46"/>
        <v>0.48</v>
      </c>
      <c r="J128" s="19">
        <v>35.6</v>
      </c>
      <c r="K128" s="18">
        <f t="shared" si="47"/>
        <v>0.82</v>
      </c>
      <c r="L128" s="20">
        <v>5.88</v>
      </c>
      <c r="M128" s="7">
        <f t="shared" si="48"/>
        <v>0.22</v>
      </c>
      <c r="N128" s="19">
        <v>47.5</v>
      </c>
      <c r="O128" s="7">
        <f t="shared" si="49"/>
        <v>0.4</v>
      </c>
      <c r="P128" s="21">
        <v>15.9</v>
      </c>
      <c r="Q128" s="7">
        <f t="shared" si="50"/>
        <v>0.1</v>
      </c>
      <c r="R128" s="11">
        <v>136852.715813787</v>
      </c>
      <c r="S128" s="7">
        <f t="shared" si="51"/>
        <v>0.27</v>
      </c>
      <c r="T128" s="11">
        <v>3421.31789534467</v>
      </c>
      <c r="U128" s="7">
        <f t="shared" si="52"/>
        <v>0.27</v>
      </c>
      <c r="V128" s="11">
        <f t="shared" si="28"/>
        <v>8.28649978377525</v>
      </c>
      <c r="W128" s="7">
        <f t="shared" si="53"/>
        <v>0.3</v>
      </c>
      <c r="X128" s="11">
        <v>10</v>
      </c>
      <c r="Y128" s="7">
        <v>0</v>
      </c>
      <c r="Z128" s="11">
        <v>54.1144414168937</v>
      </c>
      <c r="AA128" s="7">
        <f t="shared" si="54"/>
        <v>0.49</v>
      </c>
      <c r="AB128" s="12">
        <f t="shared" si="29"/>
        <v>41.4324989188762</v>
      </c>
      <c r="AC128" s="13">
        <f t="shared" si="55"/>
        <v>0.3</v>
      </c>
    </row>
    <row r="129" spans="1:29">
      <c r="A129" s="14">
        <v>45718</v>
      </c>
      <c r="B129" s="15">
        <v>326900</v>
      </c>
      <c r="C129" s="7">
        <f t="shared" si="43"/>
        <v>0.59</v>
      </c>
      <c r="D129" s="16">
        <v>142</v>
      </c>
      <c r="E129" s="7">
        <f t="shared" si="44"/>
        <v>0.23</v>
      </c>
      <c r="F129" s="17">
        <v>305</v>
      </c>
      <c r="G129" s="7">
        <f t="shared" si="45"/>
        <v>0.24</v>
      </c>
      <c r="H129" s="17">
        <v>156</v>
      </c>
      <c r="I129" s="18">
        <f t="shared" si="46"/>
        <v>0.35</v>
      </c>
      <c r="J129" s="19">
        <v>33.5</v>
      </c>
      <c r="K129" s="18">
        <f t="shared" si="47"/>
        <v>0.73</v>
      </c>
      <c r="L129" s="20">
        <v>4.08</v>
      </c>
      <c r="M129" s="7">
        <f t="shared" si="48"/>
        <v>0.12</v>
      </c>
      <c r="N129" s="19">
        <v>41.9</v>
      </c>
      <c r="O129" s="7">
        <f t="shared" si="49"/>
        <v>0.29</v>
      </c>
      <c r="P129" s="21">
        <v>16.1</v>
      </c>
      <c r="Q129" s="7">
        <f t="shared" si="50"/>
        <v>0.12</v>
      </c>
      <c r="R129" s="11">
        <v>111425.049678801</v>
      </c>
      <c r="S129" s="7">
        <f t="shared" si="51"/>
        <v>0.15</v>
      </c>
      <c r="T129" s="11">
        <v>2785.62624197002</v>
      </c>
      <c r="U129" s="7">
        <f t="shared" si="52"/>
        <v>0.15</v>
      </c>
      <c r="V129" s="11">
        <f t="shared" si="28"/>
        <v>8.94812255299979</v>
      </c>
      <c r="W129" s="7">
        <f t="shared" si="53"/>
        <v>0.34</v>
      </c>
      <c r="X129" s="11">
        <v>10</v>
      </c>
      <c r="Y129" s="7">
        <v>0</v>
      </c>
      <c r="Z129" s="11">
        <v>46.0983606557377</v>
      </c>
      <c r="AA129" s="7">
        <f t="shared" si="54"/>
        <v>0.39</v>
      </c>
      <c r="AB129" s="12">
        <f t="shared" si="29"/>
        <v>44.740612764999</v>
      </c>
      <c r="AC129" s="13">
        <f t="shared" si="55"/>
        <v>0.34</v>
      </c>
    </row>
    <row r="130" spans="1:29">
      <c r="A130" s="14">
        <v>45719</v>
      </c>
      <c r="B130" s="15">
        <v>299700</v>
      </c>
      <c r="C130" s="7">
        <f t="shared" si="43"/>
        <v>0.47</v>
      </c>
      <c r="D130" s="16">
        <v>112</v>
      </c>
      <c r="E130" s="7">
        <f t="shared" si="44"/>
        <v>0.13</v>
      </c>
      <c r="F130" s="17">
        <v>325</v>
      </c>
      <c r="G130" s="7">
        <f t="shared" si="45"/>
        <v>0.28</v>
      </c>
      <c r="H130" s="17">
        <v>156</v>
      </c>
      <c r="I130" s="18">
        <f t="shared" si="46"/>
        <v>0.35</v>
      </c>
      <c r="J130" s="19">
        <v>34.3</v>
      </c>
      <c r="K130" s="18">
        <f t="shared" si="47"/>
        <v>0.76</v>
      </c>
      <c r="L130" s="20">
        <v>3.94</v>
      </c>
      <c r="M130" s="7">
        <f t="shared" si="48"/>
        <v>0.11</v>
      </c>
      <c r="N130" s="19">
        <v>39.4</v>
      </c>
      <c r="O130" s="7">
        <f t="shared" si="49"/>
        <v>0.24</v>
      </c>
      <c r="P130" s="21">
        <v>16.4</v>
      </c>
      <c r="Q130" s="7">
        <f t="shared" si="50"/>
        <v>0.14</v>
      </c>
      <c r="R130" s="11">
        <v>119763.260821198</v>
      </c>
      <c r="S130" s="7">
        <f t="shared" si="51"/>
        <v>0.19</v>
      </c>
      <c r="T130" s="11">
        <v>2994.08152052995</v>
      </c>
      <c r="U130" s="7">
        <f t="shared" si="52"/>
        <v>0.19</v>
      </c>
      <c r="V130" s="11">
        <f t="shared" ref="V130:V182" si="56">B130*F130/400000/T130*100</f>
        <v>8.13291983970094</v>
      </c>
      <c r="W130" s="7">
        <f t="shared" si="53"/>
        <v>0.3</v>
      </c>
      <c r="X130" s="11">
        <v>10</v>
      </c>
      <c r="Y130" s="7">
        <v>0</v>
      </c>
      <c r="Z130" s="11">
        <v>34.2461538461538</v>
      </c>
      <c r="AA130" s="7">
        <f t="shared" si="54"/>
        <v>0.24</v>
      </c>
      <c r="AB130" s="12">
        <f t="shared" ref="AB130:AB182" si="57">V130*5</f>
        <v>40.6645991985047</v>
      </c>
      <c r="AC130" s="13">
        <f t="shared" si="55"/>
        <v>0.3</v>
      </c>
    </row>
    <row r="131" spans="1:29">
      <c r="A131" s="14">
        <v>45720</v>
      </c>
      <c r="B131" s="15">
        <v>261800</v>
      </c>
      <c r="C131" s="7">
        <f t="shared" ref="C131:C162" si="58">ROUND((B131-MIN($B$2:$B$182))/(MAX($B$2:$B$182)-MIN($B$2:$B$182)),2)</f>
        <v>0.3</v>
      </c>
      <c r="D131" s="16">
        <v>202</v>
      </c>
      <c r="E131" s="7">
        <f t="shared" ref="E131:E162" si="59">ROUND((D131-MIN($D$2:$D$182))/(MAX($D$2:$D$182)-MIN($D$2:$D$182)),2)</f>
        <v>0.44</v>
      </c>
      <c r="F131" s="17">
        <v>397</v>
      </c>
      <c r="G131" s="7">
        <f t="shared" ref="G131:G162" si="60">ROUND((F131-MIN($F$2:$F$182))/(MAX($F$2:$F$182)-MIN($F$2:$F$182)),2)</f>
        <v>0.4</v>
      </c>
      <c r="H131" s="17">
        <v>148</v>
      </c>
      <c r="I131" s="18">
        <f t="shared" ref="I131:I162" si="61">ROUND((H131-MIN($H$2:$H$182))/(MAX($H$2:$H$182)-MIN($H$2:$H$182)),2)</f>
        <v>0.33</v>
      </c>
      <c r="J131" s="19">
        <v>29.3</v>
      </c>
      <c r="K131" s="18">
        <f t="shared" ref="K131:K162" si="62">ROUND((J131-MIN($J$2:$J$182))/(MAX($J$2:$J$182)-MIN($J$2:$J$182)),2)</f>
        <v>0.53</v>
      </c>
      <c r="L131" s="20">
        <v>3.463</v>
      </c>
      <c r="M131" s="7">
        <f t="shared" ref="M131:M162" si="63">ROUND((L131-MIN($L$2:$L$182))/(MAX($L$2:$L$182)-MIN($L$2:$L$182)),2)</f>
        <v>0.09</v>
      </c>
      <c r="N131" s="19">
        <v>31.4</v>
      </c>
      <c r="O131" s="7">
        <f t="shared" ref="O131:O162" si="64">ROUND((N131-MIN($N$2:$N$182))/(MAX($N$2:$N$182)-MIN($N$2:$N$182)),2)</f>
        <v>0.09</v>
      </c>
      <c r="P131" s="21">
        <v>16.8</v>
      </c>
      <c r="Q131" s="7">
        <f t="shared" ref="Q131:Q162" si="65">ROUND((P131-MIN($P$2:$P$182))/(MAX($P$2:$P$182)-MIN($P$2:$P$182)),2)</f>
        <v>0.18</v>
      </c>
      <c r="R131" s="11">
        <v>151504.131849477</v>
      </c>
      <c r="S131" s="7">
        <f t="shared" ref="S131:S162" si="66">ROUND((R131-MIN($R$2:$R$182))/(MAX($R$2:$R$182)-MIN($R$2:$R$182)),2)</f>
        <v>0.34</v>
      </c>
      <c r="T131" s="11">
        <v>3787.60329623692</v>
      </c>
      <c r="U131" s="7">
        <f t="shared" ref="U131:U162" si="67">ROUND((T131-MIN($T$2:$T$182))/(MAX($T$2:$T$182)-MIN($T$2:$T$182)),2)</f>
        <v>0.34</v>
      </c>
      <c r="V131" s="11">
        <f t="shared" si="56"/>
        <v>6.86018253965916</v>
      </c>
      <c r="W131" s="7">
        <f t="shared" ref="W131:W162" si="68">ROUND((V131-MIN($V$2:$V$182))/(MAX($V$2:$V$182)-MIN($V$2:$V$182)),2)</f>
        <v>0.23</v>
      </c>
      <c r="X131" s="11">
        <v>10</v>
      </c>
      <c r="Y131" s="7">
        <v>0</v>
      </c>
      <c r="Z131" s="11">
        <v>50.4785894206549</v>
      </c>
      <c r="AA131" s="7">
        <f t="shared" ref="AA131:AA162" si="69">ROUND((Z131-MIN($Z$2:$Z$182))/(MAX($Z$2:$Z$182)-MIN($Z$2:$Z$182)),2)</f>
        <v>0.45</v>
      </c>
      <c r="AB131" s="12">
        <f t="shared" si="57"/>
        <v>34.3009126982958</v>
      </c>
      <c r="AC131" s="13">
        <f t="shared" ref="AC131:AC162" si="70">ROUND((AB131-MIN($AB$2:$AB$182))/(MAX($AB$2:$AB$182)-MIN($AB$2:$AB$182)),2)</f>
        <v>0.23</v>
      </c>
    </row>
    <row r="132" spans="1:29">
      <c r="A132" s="14">
        <v>45721</v>
      </c>
      <c r="B132" s="15">
        <v>306700</v>
      </c>
      <c r="C132" s="7">
        <f t="shared" si="58"/>
        <v>0.5</v>
      </c>
      <c r="D132" s="16">
        <v>227</v>
      </c>
      <c r="E132" s="7">
        <f t="shared" si="59"/>
        <v>0.52</v>
      </c>
      <c r="F132" s="17">
        <v>488</v>
      </c>
      <c r="G132" s="7">
        <f t="shared" si="60"/>
        <v>0.56</v>
      </c>
      <c r="H132" s="17">
        <v>200</v>
      </c>
      <c r="I132" s="18">
        <f t="shared" si="61"/>
        <v>0.45</v>
      </c>
      <c r="J132" s="19">
        <v>30.2</v>
      </c>
      <c r="K132" s="18">
        <f t="shared" si="62"/>
        <v>0.58</v>
      </c>
      <c r="L132" s="20">
        <v>14.7</v>
      </c>
      <c r="M132" s="7">
        <f t="shared" si="63"/>
        <v>0.72</v>
      </c>
      <c r="N132" s="19">
        <v>43</v>
      </c>
      <c r="O132" s="7">
        <f t="shared" si="64"/>
        <v>0.31</v>
      </c>
      <c r="P132" s="21">
        <v>16.6</v>
      </c>
      <c r="Q132" s="7">
        <f t="shared" si="65"/>
        <v>0.16</v>
      </c>
      <c r="R132" s="11">
        <v>107709.0189788</v>
      </c>
      <c r="S132" s="7">
        <f t="shared" si="66"/>
        <v>0.13</v>
      </c>
      <c r="T132" s="11">
        <v>2692.72547447</v>
      </c>
      <c r="U132" s="7">
        <f t="shared" si="67"/>
        <v>0.13</v>
      </c>
      <c r="V132" s="11">
        <f t="shared" si="56"/>
        <v>13.8957351407554</v>
      </c>
      <c r="W132" s="7">
        <f t="shared" si="68"/>
        <v>0.59</v>
      </c>
      <c r="X132" s="11">
        <v>10</v>
      </c>
      <c r="Y132" s="7">
        <v>0</v>
      </c>
      <c r="Z132" s="11">
        <v>46.2295081967213</v>
      </c>
      <c r="AA132" s="7">
        <f t="shared" si="69"/>
        <v>0.39</v>
      </c>
      <c r="AB132" s="12">
        <f t="shared" si="57"/>
        <v>69.4786757037769</v>
      </c>
      <c r="AC132" s="13">
        <f t="shared" si="70"/>
        <v>0.59</v>
      </c>
    </row>
    <row r="133" spans="1:29">
      <c r="A133" s="14">
        <v>45722</v>
      </c>
      <c r="B133" s="15">
        <v>293900</v>
      </c>
      <c r="C133" s="7">
        <f t="shared" si="58"/>
        <v>0.45</v>
      </c>
      <c r="D133" s="16">
        <v>186</v>
      </c>
      <c r="E133" s="7">
        <f t="shared" si="59"/>
        <v>0.38</v>
      </c>
      <c r="F133" s="17">
        <v>368</v>
      </c>
      <c r="G133" s="7">
        <f t="shared" si="60"/>
        <v>0.35</v>
      </c>
      <c r="H133" s="17">
        <v>236</v>
      </c>
      <c r="I133" s="18">
        <f t="shared" si="61"/>
        <v>0.54</v>
      </c>
      <c r="J133" s="19">
        <v>28.9</v>
      </c>
      <c r="K133" s="18">
        <f t="shared" si="62"/>
        <v>0.52</v>
      </c>
      <c r="L133" s="20">
        <v>5.94</v>
      </c>
      <c r="M133" s="7">
        <f t="shared" si="63"/>
        <v>0.23</v>
      </c>
      <c r="N133" s="19">
        <v>36.5</v>
      </c>
      <c r="O133" s="7">
        <f t="shared" si="64"/>
        <v>0.19</v>
      </c>
      <c r="P133" s="21">
        <v>16.6</v>
      </c>
      <c r="Q133" s="7">
        <f t="shared" si="65"/>
        <v>0.16</v>
      </c>
      <c r="R133" s="11">
        <v>107317.364628624</v>
      </c>
      <c r="S133" s="7">
        <f t="shared" si="66"/>
        <v>0.13</v>
      </c>
      <c r="T133" s="11">
        <v>2682.93411571561</v>
      </c>
      <c r="U133" s="7">
        <f t="shared" si="67"/>
        <v>0.13</v>
      </c>
      <c r="V133" s="11">
        <f t="shared" si="56"/>
        <v>10.0780708112126</v>
      </c>
      <c r="W133" s="7">
        <f t="shared" si="68"/>
        <v>0.4</v>
      </c>
      <c r="X133" s="11">
        <v>10</v>
      </c>
      <c r="Y133" s="7">
        <v>0</v>
      </c>
      <c r="Z133" s="11">
        <v>50.2173913043478</v>
      </c>
      <c r="AA133" s="7">
        <f t="shared" si="69"/>
        <v>0.44</v>
      </c>
      <c r="AB133" s="12">
        <f t="shared" si="57"/>
        <v>50.390354056063</v>
      </c>
      <c r="AC133" s="13">
        <f t="shared" si="70"/>
        <v>0.4</v>
      </c>
    </row>
    <row r="134" spans="1:29">
      <c r="A134" s="14">
        <v>45723</v>
      </c>
      <c r="B134" s="15">
        <v>277000</v>
      </c>
      <c r="C134" s="7">
        <f t="shared" si="58"/>
        <v>0.37</v>
      </c>
      <c r="D134" s="16">
        <v>173</v>
      </c>
      <c r="E134" s="7">
        <f t="shared" si="59"/>
        <v>0.34</v>
      </c>
      <c r="F134" s="17">
        <v>338</v>
      </c>
      <c r="G134" s="7">
        <f t="shared" si="60"/>
        <v>0.3</v>
      </c>
      <c r="H134" s="17">
        <v>220</v>
      </c>
      <c r="I134" s="18">
        <f t="shared" si="61"/>
        <v>0.5</v>
      </c>
      <c r="J134" s="19">
        <v>25.8</v>
      </c>
      <c r="K134" s="18">
        <f t="shared" si="62"/>
        <v>0.37</v>
      </c>
      <c r="L134" s="20">
        <v>5.28</v>
      </c>
      <c r="M134" s="7">
        <f t="shared" si="63"/>
        <v>0.19</v>
      </c>
      <c r="N134" s="19">
        <v>37.6</v>
      </c>
      <c r="O134" s="7">
        <f t="shared" si="64"/>
        <v>0.21</v>
      </c>
      <c r="P134" s="21">
        <v>16.4</v>
      </c>
      <c r="Q134" s="7">
        <f t="shared" si="65"/>
        <v>0.14</v>
      </c>
      <c r="R134" s="11">
        <v>84962.047120419</v>
      </c>
      <c r="S134" s="7">
        <f t="shared" si="66"/>
        <v>0.02</v>
      </c>
      <c r="T134" s="11">
        <v>2124.05117801047</v>
      </c>
      <c r="U134" s="7">
        <f t="shared" si="67"/>
        <v>0.02</v>
      </c>
      <c r="V134" s="11">
        <f t="shared" si="56"/>
        <v>11.019743894271</v>
      </c>
      <c r="W134" s="7">
        <f t="shared" si="68"/>
        <v>0.44</v>
      </c>
      <c r="X134" s="11">
        <v>10</v>
      </c>
      <c r="Y134" s="7">
        <v>0</v>
      </c>
      <c r="Z134" s="11">
        <v>50.7100591715976</v>
      </c>
      <c r="AA134" s="7">
        <f t="shared" si="69"/>
        <v>0.45</v>
      </c>
      <c r="AB134" s="12">
        <f t="shared" si="57"/>
        <v>55.098719471355</v>
      </c>
      <c r="AC134" s="13">
        <f t="shared" si="70"/>
        <v>0.44</v>
      </c>
    </row>
    <row r="135" spans="1:29">
      <c r="A135" s="14">
        <v>45724</v>
      </c>
      <c r="B135" s="15">
        <v>280200</v>
      </c>
      <c r="C135" s="7">
        <f t="shared" si="58"/>
        <v>0.39</v>
      </c>
      <c r="D135" s="16">
        <v>226</v>
      </c>
      <c r="E135" s="7">
        <f t="shared" si="59"/>
        <v>0.52</v>
      </c>
      <c r="F135" s="17">
        <v>377</v>
      </c>
      <c r="G135" s="7">
        <f t="shared" si="60"/>
        <v>0.37</v>
      </c>
      <c r="H135" s="17">
        <v>176</v>
      </c>
      <c r="I135" s="18">
        <f t="shared" si="61"/>
        <v>0.39</v>
      </c>
      <c r="J135" s="19">
        <v>32.4</v>
      </c>
      <c r="K135" s="18">
        <f t="shared" si="62"/>
        <v>0.68</v>
      </c>
      <c r="L135" s="20">
        <v>5.38</v>
      </c>
      <c r="M135" s="7">
        <f t="shared" si="63"/>
        <v>0.19</v>
      </c>
      <c r="N135" s="19">
        <v>35.7</v>
      </c>
      <c r="O135" s="7">
        <f t="shared" si="64"/>
        <v>0.17</v>
      </c>
      <c r="P135" s="21">
        <v>16.3</v>
      </c>
      <c r="Q135" s="7">
        <f t="shared" si="65"/>
        <v>0.14</v>
      </c>
      <c r="R135" s="11">
        <v>89213.7069316413</v>
      </c>
      <c r="S135" s="7">
        <f t="shared" si="66"/>
        <v>0.04</v>
      </c>
      <c r="T135" s="11">
        <v>2230.34267329103</v>
      </c>
      <c r="U135" s="7">
        <f t="shared" si="67"/>
        <v>0.04</v>
      </c>
      <c r="V135" s="11">
        <f t="shared" si="56"/>
        <v>11.8407141271399</v>
      </c>
      <c r="W135" s="7">
        <f t="shared" si="68"/>
        <v>0.49</v>
      </c>
      <c r="X135" s="11">
        <v>10</v>
      </c>
      <c r="Y135" s="7">
        <v>0</v>
      </c>
      <c r="Z135" s="11">
        <v>59.4960212201591</v>
      </c>
      <c r="AA135" s="7">
        <f t="shared" si="69"/>
        <v>0.56</v>
      </c>
      <c r="AB135" s="12">
        <f t="shared" si="57"/>
        <v>59.2035706356993</v>
      </c>
      <c r="AC135" s="13">
        <f t="shared" si="70"/>
        <v>0.49</v>
      </c>
    </row>
    <row r="136" spans="1:29">
      <c r="A136" s="14">
        <v>45726</v>
      </c>
      <c r="B136" s="15">
        <v>269100</v>
      </c>
      <c r="C136" s="7">
        <f t="shared" si="58"/>
        <v>0.34</v>
      </c>
      <c r="D136" s="16">
        <v>137</v>
      </c>
      <c r="E136" s="7">
        <f t="shared" si="59"/>
        <v>0.22</v>
      </c>
      <c r="F136" s="17">
        <v>287</v>
      </c>
      <c r="G136" s="7">
        <f t="shared" si="60"/>
        <v>0.21</v>
      </c>
      <c r="H136" s="17">
        <v>184</v>
      </c>
      <c r="I136" s="18">
        <f t="shared" si="61"/>
        <v>0.41</v>
      </c>
      <c r="J136" s="19">
        <v>38.2</v>
      </c>
      <c r="K136" s="18">
        <f t="shared" si="62"/>
        <v>0.94</v>
      </c>
      <c r="L136" s="20">
        <v>4.54</v>
      </c>
      <c r="M136" s="7">
        <f t="shared" si="63"/>
        <v>0.15</v>
      </c>
      <c r="N136" s="19">
        <v>42.9</v>
      </c>
      <c r="O136" s="7">
        <f t="shared" si="64"/>
        <v>0.31</v>
      </c>
      <c r="P136" s="21">
        <v>16.3</v>
      </c>
      <c r="Q136" s="7">
        <f t="shared" si="65"/>
        <v>0.14</v>
      </c>
      <c r="R136" s="11">
        <v>86493.1517210069</v>
      </c>
      <c r="S136" s="7">
        <f t="shared" si="66"/>
        <v>0.03</v>
      </c>
      <c r="T136" s="11">
        <v>2162.32879302517</v>
      </c>
      <c r="U136" s="7">
        <f t="shared" si="67"/>
        <v>0.03</v>
      </c>
      <c r="V136" s="11">
        <f t="shared" si="56"/>
        <v>8.92922716576676</v>
      </c>
      <c r="W136" s="7">
        <f t="shared" si="68"/>
        <v>0.34</v>
      </c>
      <c r="X136" s="11">
        <v>10</v>
      </c>
      <c r="Y136" s="7">
        <v>0</v>
      </c>
      <c r="Z136" s="11">
        <v>47.3170731707317</v>
      </c>
      <c r="AA136" s="7">
        <f t="shared" si="69"/>
        <v>0.41</v>
      </c>
      <c r="AB136" s="12">
        <f t="shared" si="57"/>
        <v>44.6461358288338</v>
      </c>
      <c r="AC136" s="13">
        <f t="shared" si="70"/>
        <v>0.34</v>
      </c>
    </row>
    <row r="137" spans="1:29">
      <c r="A137" s="14">
        <v>45728</v>
      </c>
      <c r="B137" s="15">
        <v>225400</v>
      </c>
      <c r="C137" s="7">
        <f t="shared" si="58"/>
        <v>0.14</v>
      </c>
      <c r="D137" s="16">
        <v>176</v>
      </c>
      <c r="E137" s="7">
        <f t="shared" si="59"/>
        <v>0.35</v>
      </c>
      <c r="F137" s="17">
        <v>348</v>
      </c>
      <c r="G137" s="7">
        <f t="shared" si="60"/>
        <v>0.32</v>
      </c>
      <c r="H137" s="17">
        <v>112</v>
      </c>
      <c r="I137" s="18">
        <f t="shared" si="61"/>
        <v>0.24</v>
      </c>
      <c r="J137" s="19">
        <v>24</v>
      </c>
      <c r="K137" s="18">
        <f t="shared" si="62"/>
        <v>0.29</v>
      </c>
      <c r="L137" s="20">
        <v>5.24</v>
      </c>
      <c r="M137" s="7">
        <f t="shared" si="63"/>
        <v>0.19</v>
      </c>
      <c r="N137" s="19">
        <v>31.8</v>
      </c>
      <c r="O137" s="7">
        <f t="shared" si="64"/>
        <v>0.1</v>
      </c>
      <c r="P137" s="21">
        <v>16.5</v>
      </c>
      <c r="Q137" s="7">
        <f t="shared" si="65"/>
        <v>0.15</v>
      </c>
      <c r="R137" s="11">
        <v>81123.635791685</v>
      </c>
      <c r="S137" s="7">
        <f t="shared" si="66"/>
        <v>0</v>
      </c>
      <c r="T137" s="11">
        <v>2028.09089479212</v>
      </c>
      <c r="U137" s="7">
        <f t="shared" si="67"/>
        <v>0</v>
      </c>
      <c r="V137" s="11">
        <f t="shared" si="56"/>
        <v>9.66909325925947</v>
      </c>
      <c r="W137" s="7">
        <f t="shared" si="68"/>
        <v>0.37</v>
      </c>
      <c r="X137" s="11">
        <v>10</v>
      </c>
      <c r="Y137" s="7">
        <v>0</v>
      </c>
      <c r="Z137" s="11">
        <v>50.1149425287356</v>
      </c>
      <c r="AA137" s="7">
        <f t="shared" si="69"/>
        <v>0.44</v>
      </c>
      <c r="AB137" s="12">
        <f t="shared" si="57"/>
        <v>48.3454662962974</v>
      </c>
      <c r="AC137" s="13">
        <f t="shared" si="70"/>
        <v>0.37</v>
      </c>
    </row>
    <row r="138" spans="1:29">
      <c r="A138" s="14">
        <v>45731</v>
      </c>
      <c r="B138" s="15">
        <v>237500</v>
      </c>
      <c r="C138" s="7">
        <f t="shared" si="58"/>
        <v>0.19</v>
      </c>
      <c r="D138" s="16">
        <v>150</v>
      </c>
      <c r="E138" s="7">
        <f t="shared" si="59"/>
        <v>0.26</v>
      </c>
      <c r="F138" s="17">
        <v>286</v>
      </c>
      <c r="G138" s="7">
        <f t="shared" si="60"/>
        <v>0.21</v>
      </c>
      <c r="H138" s="17">
        <v>124</v>
      </c>
      <c r="I138" s="18">
        <f t="shared" si="61"/>
        <v>0.27</v>
      </c>
      <c r="J138" s="19">
        <v>24.6</v>
      </c>
      <c r="K138" s="18">
        <f t="shared" si="62"/>
        <v>0.32</v>
      </c>
      <c r="L138" s="20">
        <v>3.52</v>
      </c>
      <c r="M138" s="7">
        <f t="shared" si="63"/>
        <v>0.09</v>
      </c>
      <c r="N138" s="19">
        <v>26.7</v>
      </c>
      <c r="O138" s="7">
        <f t="shared" si="64"/>
        <v>0</v>
      </c>
      <c r="P138" s="21">
        <v>16.5</v>
      </c>
      <c r="Q138" s="7">
        <f t="shared" si="65"/>
        <v>0.15</v>
      </c>
      <c r="R138" s="11">
        <v>86898.4799223904</v>
      </c>
      <c r="S138" s="7">
        <f t="shared" si="66"/>
        <v>0.03</v>
      </c>
      <c r="T138" s="11">
        <v>2172.46199805976</v>
      </c>
      <c r="U138" s="7">
        <f t="shared" si="67"/>
        <v>0.03</v>
      </c>
      <c r="V138" s="11">
        <f t="shared" si="56"/>
        <v>7.81659242608896</v>
      </c>
      <c r="W138" s="7">
        <f t="shared" si="68"/>
        <v>0.28</v>
      </c>
      <c r="X138" s="11">
        <v>10</v>
      </c>
      <c r="Y138" s="7">
        <v>0</v>
      </c>
      <c r="Z138" s="11">
        <v>51.993006993007</v>
      </c>
      <c r="AA138" s="7">
        <f t="shared" si="69"/>
        <v>0.47</v>
      </c>
      <c r="AB138" s="12">
        <f t="shared" si="57"/>
        <v>39.0829621304448</v>
      </c>
      <c r="AC138" s="13">
        <f t="shared" si="70"/>
        <v>0.28</v>
      </c>
    </row>
    <row r="139" spans="1:29">
      <c r="A139" s="14">
        <v>45732</v>
      </c>
      <c r="B139" s="15">
        <v>229400</v>
      </c>
      <c r="C139" s="7">
        <f t="shared" si="58"/>
        <v>0.16</v>
      </c>
      <c r="D139" s="16">
        <v>138</v>
      </c>
      <c r="E139" s="7">
        <f t="shared" si="59"/>
        <v>0.22</v>
      </c>
      <c r="F139" s="17">
        <v>288</v>
      </c>
      <c r="G139" s="7">
        <f t="shared" si="60"/>
        <v>0.21</v>
      </c>
      <c r="H139" s="17">
        <v>108</v>
      </c>
      <c r="I139" s="18">
        <f t="shared" si="61"/>
        <v>0.23</v>
      </c>
      <c r="J139" s="19">
        <v>25</v>
      </c>
      <c r="K139" s="18">
        <f t="shared" si="62"/>
        <v>0.34</v>
      </c>
      <c r="L139" s="20">
        <v>4.62</v>
      </c>
      <c r="M139" s="7">
        <f t="shared" si="63"/>
        <v>0.15</v>
      </c>
      <c r="N139" s="19">
        <v>31.4</v>
      </c>
      <c r="O139" s="7">
        <f t="shared" si="64"/>
        <v>0.09</v>
      </c>
      <c r="P139" s="21">
        <v>16.5</v>
      </c>
      <c r="Q139" s="7">
        <f t="shared" si="65"/>
        <v>0.15</v>
      </c>
      <c r="R139" s="11">
        <v>117409.385988372</v>
      </c>
      <c r="S139" s="7">
        <f t="shared" si="66"/>
        <v>0.18</v>
      </c>
      <c r="T139" s="11">
        <v>2935.2346497093</v>
      </c>
      <c r="U139" s="7">
        <f t="shared" si="67"/>
        <v>0.18</v>
      </c>
      <c r="V139" s="11">
        <f t="shared" si="56"/>
        <v>5.62707993435407</v>
      </c>
      <c r="W139" s="7">
        <f t="shared" si="68"/>
        <v>0.17</v>
      </c>
      <c r="X139" s="11">
        <v>10</v>
      </c>
      <c r="Y139" s="7">
        <v>0</v>
      </c>
      <c r="Z139" s="11">
        <v>47.4652777777778</v>
      </c>
      <c r="AA139" s="7">
        <f t="shared" si="69"/>
        <v>0.41</v>
      </c>
      <c r="AB139" s="12">
        <f t="shared" si="57"/>
        <v>28.1353996717704</v>
      </c>
      <c r="AC139" s="13">
        <f t="shared" si="70"/>
        <v>0.17</v>
      </c>
    </row>
    <row r="140" spans="1:29">
      <c r="A140" s="14">
        <v>45733</v>
      </c>
      <c r="B140" s="15">
        <v>231300</v>
      </c>
      <c r="C140" s="7">
        <f t="shared" si="58"/>
        <v>0.17</v>
      </c>
      <c r="D140" s="16">
        <v>141</v>
      </c>
      <c r="E140" s="7">
        <f t="shared" si="59"/>
        <v>0.23</v>
      </c>
      <c r="F140" s="17">
        <v>524</v>
      </c>
      <c r="G140" s="7">
        <f t="shared" si="60"/>
        <v>0.62</v>
      </c>
      <c r="H140" s="17">
        <v>376</v>
      </c>
      <c r="I140" s="18">
        <f t="shared" si="61"/>
        <v>0.88</v>
      </c>
      <c r="J140" s="19">
        <v>27.5</v>
      </c>
      <c r="K140" s="18">
        <f t="shared" si="62"/>
        <v>0.45</v>
      </c>
      <c r="L140" s="20">
        <v>6.23</v>
      </c>
      <c r="M140" s="7">
        <f t="shared" si="63"/>
        <v>0.24</v>
      </c>
      <c r="N140" s="19">
        <v>33.2</v>
      </c>
      <c r="O140" s="7">
        <f t="shared" si="64"/>
        <v>0.12</v>
      </c>
      <c r="P140" s="21">
        <v>16.4</v>
      </c>
      <c r="Q140" s="7">
        <f t="shared" si="65"/>
        <v>0.14</v>
      </c>
      <c r="R140" s="11">
        <v>93300.4</v>
      </c>
      <c r="S140" s="7">
        <f t="shared" si="66"/>
        <v>0.06</v>
      </c>
      <c r="T140" s="11">
        <v>2332.51</v>
      </c>
      <c r="U140" s="7">
        <f t="shared" si="67"/>
        <v>0.06</v>
      </c>
      <c r="V140" s="11">
        <f t="shared" si="56"/>
        <v>12.9904266219652</v>
      </c>
      <c r="W140" s="7">
        <f t="shared" si="68"/>
        <v>0.54</v>
      </c>
      <c r="X140" s="11">
        <v>10</v>
      </c>
      <c r="Y140" s="7">
        <v>0</v>
      </c>
      <c r="Z140" s="11">
        <v>26.4312977099237</v>
      </c>
      <c r="AA140" s="7">
        <f t="shared" si="69"/>
        <v>0.14</v>
      </c>
      <c r="AB140" s="12">
        <f t="shared" si="57"/>
        <v>64.9521331098259</v>
      </c>
      <c r="AC140" s="13">
        <f t="shared" si="70"/>
        <v>0.54</v>
      </c>
    </row>
    <row r="141" spans="1:29">
      <c r="A141" s="14">
        <v>45736</v>
      </c>
      <c r="B141" s="15">
        <v>222200</v>
      </c>
      <c r="C141" s="7">
        <f t="shared" si="58"/>
        <v>0.13</v>
      </c>
      <c r="D141" s="16">
        <v>185</v>
      </c>
      <c r="E141" s="7">
        <f t="shared" si="59"/>
        <v>0.38</v>
      </c>
      <c r="F141" s="17">
        <v>279</v>
      </c>
      <c r="G141" s="7">
        <f t="shared" si="60"/>
        <v>0.2</v>
      </c>
      <c r="H141" s="17">
        <v>124</v>
      </c>
      <c r="I141" s="18">
        <f t="shared" si="61"/>
        <v>0.27</v>
      </c>
      <c r="J141" s="19">
        <v>25.9</v>
      </c>
      <c r="K141" s="18">
        <f t="shared" si="62"/>
        <v>0.38</v>
      </c>
      <c r="L141" s="20">
        <v>3.7</v>
      </c>
      <c r="M141" s="7">
        <f t="shared" si="63"/>
        <v>0.1</v>
      </c>
      <c r="N141" s="19">
        <v>29.8</v>
      </c>
      <c r="O141" s="7">
        <f t="shared" si="64"/>
        <v>0.06</v>
      </c>
      <c r="P141" s="21">
        <v>16.3</v>
      </c>
      <c r="Q141" s="7">
        <f t="shared" si="65"/>
        <v>0.14</v>
      </c>
      <c r="R141" s="11">
        <v>114400.48</v>
      </c>
      <c r="S141" s="7">
        <f t="shared" si="66"/>
        <v>0.16</v>
      </c>
      <c r="T141" s="11">
        <v>2860.012</v>
      </c>
      <c r="U141" s="7">
        <f t="shared" si="67"/>
        <v>0.16</v>
      </c>
      <c r="V141" s="11">
        <f t="shared" si="56"/>
        <v>5.41901572440955</v>
      </c>
      <c r="W141" s="7">
        <f t="shared" si="68"/>
        <v>0.16</v>
      </c>
      <c r="X141" s="11">
        <v>10</v>
      </c>
      <c r="Y141" s="7">
        <v>0</v>
      </c>
      <c r="Z141" s="11">
        <v>65.663082437276</v>
      </c>
      <c r="AA141" s="7">
        <f t="shared" si="69"/>
        <v>0.64</v>
      </c>
      <c r="AB141" s="12">
        <f t="shared" si="57"/>
        <v>27.0950786220477</v>
      </c>
      <c r="AC141" s="13">
        <f t="shared" si="70"/>
        <v>0.16</v>
      </c>
    </row>
    <row r="142" spans="1:29">
      <c r="A142" s="14">
        <v>45737</v>
      </c>
      <c r="B142" s="15">
        <v>225900</v>
      </c>
      <c r="C142" s="7">
        <f t="shared" si="58"/>
        <v>0.14</v>
      </c>
      <c r="D142" s="16">
        <v>129</v>
      </c>
      <c r="E142" s="7">
        <f t="shared" si="59"/>
        <v>0.19</v>
      </c>
      <c r="F142" s="17">
        <v>251</v>
      </c>
      <c r="G142" s="7">
        <f t="shared" si="60"/>
        <v>0.15</v>
      </c>
      <c r="H142" s="17">
        <v>116</v>
      </c>
      <c r="I142" s="18">
        <f t="shared" si="61"/>
        <v>0.25</v>
      </c>
      <c r="J142" s="19">
        <v>30.8</v>
      </c>
      <c r="K142" s="18">
        <f t="shared" si="62"/>
        <v>0.6</v>
      </c>
      <c r="L142" s="20">
        <v>3.88</v>
      </c>
      <c r="M142" s="7">
        <f t="shared" si="63"/>
        <v>0.11</v>
      </c>
      <c r="N142" s="19">
        <v>34.1</v>
      </c>
      <c r="O142" s="7">
        <f t="shared" si="64"/>
        <v>0.14</v>
      </c>
      <c r="P142" s="21">
        <v>16.2</v>
      </c>
      <c r="Q142" s="7">
        <f t="shared" si="65"/>
        <v>0.13</v>
      </c>
      <c r="R142" s="11">
        <v>127883.69</v>
      </c>
      <c r="S142" s="7">
        <f t="shared" si="66"/>
        <v>0.23</v>
      </c>
      <c r="T142" s="11">
        <v>3197.09225</v>
      </c>
      <c r="U142" s="7">
        <f t="shared" si="67"/>
        <v>0.23</v>
      </c>
      <c r="V142" s="11">
        <f t="shared" si="56"/>
        <v>4.43378666974655</v>
      </c>
      <c r="W142" s="7">
        <f t="shared" si="68"/>
        <v>0.11</v>
      </c>
      <c r="X142" s="11">
        <v>10</v>
      </c>
      <c r="Y142" s="7">
        <v>0</v>
      </c>
      <c r="Z142" s="11">
        <v>50.7569721115538</v>
      </c>
      <c r="AA142" s="7">
        <f t="shared" si="69"/>
        <v>0.45</v>
      </c>
      <c r="AB142" s="12">
        <f t="shared" si="57"/>
        <v>22.1689333487327</v>
      </c>
      <c r="AC142" s="13">
        <f t="shared" si="70"/>
        <v>0.11</v>
      </c>
    </row>
    <row r="143" spans="1:29">
      <c r="A143" s="14">
        <v>45738</v>
      </c>
      <c r="B143" s="15">
        <v>227400</v>
      </c>
      <c r="C143" s="7">
        <f t="shared" si="58"/>
        <v>0.15</v>
      </c>
      <c r="D143" s="16">
        <v>173</v>
      </c>
      <c r="E143" s="7">
        <f t="shared" si="59"/>
        <v>0.34</v>
      </c>
      <c r="F143" s="17">
        <v>360</v>
      </c>
      <c r="G143" s="7">
        <f t="shared" si="60"/>
        <v>0.34</v>
      </c>
      <c r="H143" s="17">
        <v>140</v>
      </c>
      <c r="I143" s="18">
        <f t="shared" si="61"/>
        <v>0.31</v>
      </c>
      <c r="J143" s="19">
        <v>31.8</v>
      </c>
      <c r="K143" s="18">
        <f t="shared" si="62"/>
        <v>0.65</v>
      </c>
      <c r="L143" s="20">
        <v>2.58</v>
      </c>
      <c r="M143" s="7">
        <f t="shared" si="63"/>
        <v>0.04</v>
      </c>
      <c r="N143" s="19">
        <v>33.3</v>
      </c>
      <c r="O143" s="7">
        <f t="shared" si="64"/>
        <v>0.13</v>
      </c>
      <c r="P143" s="21">
        <v>16.3</v>
      </c>
      <c r="Q143" s="7">
        <f t="shared" si="65"/>
        <v>0.14</v>
      </c>
      <c r="R143" s="11">
        <v>132104.34</v>
      </c>
      <c r="S143" s="7">
        <f t="shared" si="66"/>
        <v>0.25</v>
      </c>
      <c r="T143" s="11">
        <v>3302.6085</v>
      </c>
      <c r="U143" s="7">
        <f t="shared" si="67"/>
        <v>0.25</v>
      </c>
      <c r="V143" s="11">
        <f t="shared" si="56"/>
        <v>6.19691979839572</v>
      </c>
      <c r="W143" s="7">
        <f t="shared" si="68"/>
        <v>0.2</v>
      </c>
      <c r="X143" s="11">
        <v>10</v>
      </c>
      <c r="Y143" s="7">
        <v>0</v>
      </c>
      <c r="Z143" s="11">
        <v>47.3333333333333</v>
      </c>
      <c r="AA143" s="7">
        <f t="shared" si="69"/>
        <v>0.41</v>
      </c>
      <c r="AB143" s="12">
        <f t="shared" si="57"/>
        <v>30.9845989919786</v>
      </c>
      <c r="AC143" s="13">
        <f t="shared" si="70"/>
        <v>0.2</v>
      </c>
    </row>
    <row r="144" spans="1:29">
      <c r="A144" s="14">
        <v>45739</v>
      </c>
      <c r="B144" s="15">
        <v>228600</v>
      </c>
      <c r="C144" s="7">
        <f t="shared" si="58"/>
        <v>0.15</v>
      </c>
      <c r="D144" s="16">
        <v>196</v>
      </c>
      <c r="E144" s="7">
        <f t="shared" si="59"/>
        <v>0.42</v>
      </c>
      <c r="F144" s="17">
        <v>354</v>
      </c>
      <c r="G144" s="7">
        <f t="shared" si="60"/>
        <v>0.33</v>
      </c>
      <c r="H144" s="17">
        <v>128</v>
      </c>
      <c r="I144" s="18">
        <f t="shared" si="61"/>
        <v>0.28</v>
      </c>
      <c r="J144" s="19">
        <v>33.9</v>
      </c>
      <c r="K144" s="18">
        <f t="shared" si="62"/>
        <v>0.75</v>
      </c>
      <c r="L144" s="20">
        <v>4.67</v>
      </c>
      <c r="M144" s="7">
        <f t="shared" si="63"/>
        <v>0.15</v>
      </c>
      <c r="N144" s="19">
        <v>39.3</v>
      </c>
      <c r="O144" s="7">
        <f t="shared" si="64"/>
        <v>0.24</v>
      </c>
      <c r="P144" s="21">
        <v>16.5</v>
      </c>
      <c r="Q144" s="7">
        <f t="shared" si="65"/>
        <v>0.15</v>
      </c>
      <c r="R144" s="11">
        <v>161516.72</v>
      </c>
      <c r="S144" s="7">
        <f t="shared" si="66"/>
        <v>0.39</v>
      </c>
      <c r="T144" s="11">
        <v>4037.918</v>
      </c>
      <c r="U144" s="7">
        <f t="shared" si="67"/>
        <v>0.39</v>
      </c>
      <c r="V144" s="11">
        <f t="shared" si="56"/>
        <v>5.01028005026353</v>
      </c>
      <c r="W144" s="7">
        <f t="shared" si="68"/>
        <v>0.14</v>
      </c>
      <c r="X144" s="11">
        <v>10</v>
      </c>
      <c r="Y144" s="7">
        <v>0</v>
      </c>
      <c r="Z144" s="11">
        <v>54.774011299435</v>
      </c>
      <c r="AA144" s="7">
        <f t="shared" si="69"/>
        <v>0.5</v>
      </c>
      <c r="AB144" s="12">
        <f t="shared" si="57"/>
        <v>25.0514002513176</v>
      </c>
      <c r="AC144" s="13">
        <f t="shared" si="70"/>
        <v>0.14</v>
      </c>
    </row>
    <row r="145" spans="1:29">
      <c r="A145" s="14">
        <v>45740</v>
      </c>
      <c r="B145" s="15">
        <v>216500</v>
      </c>
      <c r="C145" s="7">
        <f t="shared" si="58"/>
        <v>0.1</v>
      </c>
      <c r="D145" s="16">
        <v>162</v>
      </c>
      <c r="E145" s="7">
        <f t="shared" si="59"/>
        <v>0.3</v>
      </c>
      <c r="F145" s="17">
        <v>452</v>
      </c>
      <c r="G145" s="7">
        <f t="shared" si="60"/>
        <v>0.5</v>
      </c>
      <c r="H145" s="17">
        <v>192</v>
      </c>
      <c r="I145" s="18">
        <f t="shared" si="61"/>
        <v>0.43</v>
      </c>
      <c r="J145" s="19">
        <v>33.4</v>
      </c>
      <c r="K145" s="18">
        <f t="shared" si="62"/>
        <v>0.72</v>
      </c>
      <c r="L145" s="20">
        <v>5.4</v>
      </c>
      <c r="M145" s="7">
        <f t="shared" si="63"/>
        <v>0.2</v>
      </c>
      <c r="N145" s="19">
        <v>42.5</v>
      </c>
      <c r="O145" s="7">
        <f t="shared" si="64"/>
        <v>0.3</v>
      </c>
      <c r="P145" s="21">
        <v>16.8</v>
      </c>
      <c r="Q145" s="7">
        <f t="shared" si="65"/>
        <v>0.18</v>
      </c>
      <c r="R145" s="11">
        <v>149180.17</v>
      </c>
      <c r="S145" s="7">
        <f t="shared" si="66"/>
        <v>0.33</v>
      </c>
      <c r="T145" s="11">
        <v>3729.50424999999</v>
      </c>
      <c r="U145" s="7">
        <f t="shared" si="67"/>
        <v>0.33</v>
      </c>
      <c r="V145" s="11">
        <f t="shared" si="56"/>
        <v>6.55971902968071</v>
      </c>
      <c r="W145" s="7">
        <f t="shared" si="68"/>
        <v>0.22</v>
      </c>
      <c r="X145" s="11">
        <v>10</v>
      </c>
      <c r="Y145" s="7">
        <v>0</v>
      </c>
      <c r="Z145" s="11">
        <v>35.3097345132743</v>
      </c>
      <c r="AA145" s="7">
        <f t="shared" si="69"/>
        <v>0.26</v>
      </c>
      <c r="AB145" s="12">
        <f t="shared" si="57"/>
        <v>32.7985951484035</v>
      </c>
      <c r="AC145" s="13">
        <f t="shared" si="70"/>
        <v>0.22</v>
      </c>
    </row>
    <row r="146" spans="1:29">
      <c r="A146" s="14">
        <v>45741</v>
      </c>
      <c r="B146" s="15">
        <v>221900</v>
      </c>
      <c r="C146" s="7">
        <f t="shared" si="58"/>
        <v>0.12</v>
      </c>
      <c r="D146" s="16">
        <v>162</v>
      </c>
      <c r="E146" s="7">
        <f t="shared" si="59"/>
        <v>0.3</v>
      </c>
      <c r="F146" s="17">
        <v>429</v>
      </c>
      <c r="G146" s="7">
        <f t="shared" si="60"/>
        <v>0.46</v>
      </c>
      <c r="H146" s="17">
        <v>148</v>
      </c>
      <c r="I146" s="18">
        <f t="shared" si="61"/>
        <v>0.33</v>
      </c>
      <c r="J146" s="19">
        <v>29.4</v>
      </c>
      <c r="K146" s="18">
        <f t="shared" si="62"/>
        <v>0.54</v>
      </c>
      <c r="L146" s="20">
        <v>5.56</v>
      </c>
      <c r="M146" s="7">
        <f t="shared" si="63"/>
        <v>0.2</v>
      </c>
      <c r="N146" s="19">
        <v>36.2</v>
      </c>
      <c r="O146" s="7">
        <f t="shared" si="64"/>
        <v>0.18</v>
      </c>
      <c r="P146" s="21">
        <v>17.1</v>
      </c>
      <c r="Q146" s="7">
        <f t="shared" si="65"/>
        <v>0.2</v>
      </c>
      <c r="R146" s="11">
        <v>160494.76</v>
      </c>
      <c r="S146" s="7">
        <f t="shared" si="66"/>
        <v>0.38</v>
      </c>
      <c r="T146" s="11">
        <v>4012.36899999999</v>
      </c>
      <c r="U146" s="7">
        <f t="shared" si="67"/>
        <v>0.38</v>
      </c>
      <c r="V146" s="11">
        <f t="shared" si="56"/>
        <v>5.93135252515411</v>
      </c>
      <c r="W146" s="7">
        <f t="shared" si="68"/>
        <v>0.18</v>
      </c>
      <c r="X146" s="11">
        <v>10</v>
      </c>
      <c r="Y146" s="7">
        <v>0</v>
      </c>
      <c r="Z146" s="11">
        <v>37.3426573426573</v>
      </c>
      <c r="AA146" s="7">
        <f t="shared" si="69"/>
        <v>0.28</v>
      </c>
      <c r="AB146" s="12">
        <f t="shared" si="57"/>
        <v>29.6567626257705</v>
      </c>
      <c r="AC146" s="13">
        <f t="shared" si="70"/>
        <v>0.18</v>
      </c>
    </row>
    <row r="147" spans="1:29">
      <c r="A147" s="14">
        <v>45742</v>
      </c>
      <c r="B147" s="15">
        <v>218300</v>
      </c>
      <c r="C147" s="7">
        <f t="shared" si="58"/>
        <v>0.11</v>
      </c>
      <c r="D147" s="16">
        <v>195</v>
      </c>
      <c r="E147" s="7">
        <f t="shared" si="59"/>
        <v>0.41</v>
      </c>
      <c r="F147" s="17">
        <v>403</v>
      </c>
      <c r="G147" s="7">
        <f t="shared" si="60"/>
        <v>0.41</v>
      </c>
      <c r="H147" s="17">
        <v>164</v>
      </c>
      <c r="I147" s="18">
        <f t="shared" si="61"/>
        <v>0.37</v>
      </c>
      <c r="J147" s="19">
        <v>33.1</v>
      </c>
      <c r="K147" s="18">
        <f t="shared" si="62"/>
        <v>0.71</v>
      </c>
      <c r="L147" s="20">
        <v>4.77</v>
      </c>
      <c r="M147" s="7">
        <f t="shared" si="63"/>
        <v>0.16</v>
      </c>
      <c r="N147" s="19">
        <v>34.4</v>
      </c>
      <c r="O147" s="7">
        <f t="shared" si="64"/>
        <v>0.15</v>
      </c>
      <c r="P147" s="21">
        <v>17.4</v>
      </c>
      <c r="Q147" s="7">
        <f t="shared" si="65"/>
        <v>0.23</v>
      </c>
      <c r="R147" s="11">
        <v>149344.6</v>
      </c>
      <c r="S147" s="7">
        <f t="shared" si="66"/>
        <v>0.33</v>
      </c>
      <c r="T147" s="11">
        <v>3733.615</v>
      </c>
      <c r="U147" s="7">
        <f t="shared" si="67"/>
        <v>0.33</v>
      </c>
      <c r="V147" s="11">
        <f t="shared" si="56"/>
        <v>5.89073190460184</v>
      </c>
      <c r="W147" s="7">
        <f t="shared" si="68"/>
        <v>0.18</v>
      </c>
      <c r="X147" s="11">
        <v>10</v>
      </c>
      <c r="Y147" s="7">
        <v>0</v>
      </c>
      <c r="Z147" s="11">
        <v>47.8660049627792</v>
      </c>
      <c r="AA147" s="7">
        <f t="shared" si="69"/>
        <v>0.41</v>
      </c>
      <c r="AB147" s="12">
        <f t="shared" si="57"/>
        <v>29.4536595230092</v>
      </c>
      <c r="AC147" s="13">
        <f t="shared" si="70"/>
        <v>0.18</v>
      </c>
    </row>
    <row r="148" spans="1:29">
      <c r="A148" s="14">
        <v>45743</v>
      </c>
      <c r="B148" s="15">
        <v>289100</v>
      </c>
      <c r="C148" s="7">
        <f t="shared" si="58"/>
        <v>0.42</v>
      </c>
      <c r="D148" s="16">
        <v>218</v>
      </c>
      <c r="E148" s="7">
        <f t="shared" si="59"/>
        <v>0.49</v>
      </c>
      <c r="F148" s="17">
        <v>359</v>
      </c>
      <c r="G148" s="7">
        <f t="shared" si="60"/>
        <v>0.34</v>
      </c>
      <c r="H148" s="17">
        <v>196</v>
      </c>
      <c r="I148" s="18">
        <f t="shared" si="61"/>
        <v>0.44</v>
      </c>
      <c r="J148" s="19">
        <v>28.8</v>
      </c>
      <c r="K148" s="18">
        <f t="shared" si="62"/>
        <v>0.51</v>
      </c>
      <c r="L148" s="20">
        <v>8.65</v>
      </c>
      <c r="M148" s="7">
        <f t="shared" si="63"/>
        <v>0.38</v>
      </c>
      <c r="N148" s="19">
        <v>39.5</v>
      </c>
      <c r="O148" s="7">
        <f t="shared" si="64"/>
        <v>0.24</v>
      </c>
      <c r="P148" s="21">
        <v>17.7</v>
      </c>
      <c r="Q148" s="7">
        <f t="shared" si="65"/>
        <v>0.25</v>
      </c>
      <c r="R148" s="11">
        <v>187814.96</v>
      </c>
      <c r="S148" s="7">
        <f t="shared" si="66"/>
        <v>0.51</v>
      </c>
      <c r="T148" s="11">
        <v>4695.374</v>
      </c>
      <c r="U148" s="7">
        <f t="shared" si="67"/>
        <v>0.51</v>
      </c>
      <c r="V148" s="11">
        <f t="shared" si="56"/>
        <v>5.52601880063228</v>
      </c>
      <c r="W148" s="7">
        <f t="shared" si="68"/>
        <v>0.16</v>
      </c>
      <c r="X148" s="11">
        <v>10</v>
      </c>
      <c r="Y148" s="7">
        <v>0</v>
      </c>
      <c r="Z148" s="11">
        <v>60.2228412256267</v>
      </c>
      <c r="AA148" s="7">
        <f t="shared" si="69"/>
        <v>0.57</v>
      </c>
      <c r="AB148" s="12">
        <f t="shared" si="57"/>
        <v>27.6300940031614</v>
      </c>
      <c r="AC148" s="13">
        <f t="shared" si="70"/>
        <v>0.16</v>
      </c>
    </row>
    <row r="149" spans="1:29">
      <c r="A149" s="14">
        <v>45744</v>
      </c>
      <c r="B149" s="15">
        <v>209100</v>
      </c>
      <c r="C149" s="7">
        <f t="shared" si="58"/>
        <v>0.07</v>
      </c>
      <c r="D149" s="16">
        <v>160</v>
      </c>
      <c r="E149" s="7">
        <f t="shared" si="59"/>
        <v>0.29</v>
      </c>
      <c r="F149" s="17">
        <v>320</v>
      </c>
      <c r="G149" s="7">
        <f t="shared" si="60"/>
        <v>0.27</v>
      </c>
      <c r="H149" s="17">
        <v>180</v>
      </c>
      <c r="I149" s="18">
        <f t="shared" si="61"/>
        <v>0.4</v>
      </c>
      <c r="J149" s="19">
        <v>28.8</v>
      </c>
      <c r="K149" s="18">
        <f t="shared" si="62"/>
        <v>0.51</v>
      </c>
      <c r="L149" s="20">
        <v>3.6</v>
      </c>
      <c r="M149" s="7">
        <f t="shared" si="63"/>
        <v>0.09</v>
      </c>
      <c r="N149" s="19">
        <v>31.8</v>
      </c>
      <c r="O149" s="7">
        <f t="shared" si="64"/>
        <v>0.1</v>
      </c>
      <c r="P149" s="21">
        <v>18.1</v>
      </c>
      <c r="Q149" s="7">
        <f t="shared" si="65"/>
        <v>0.29</v>
      </c>
      <c r="R149" s="11">
        <v>166379.7</v>
      </c>
      <c r="S149" s="7">
        <f t="shared" si="66"/>
        <v>0.41</v>
      </c>
      <c r="T149" s="11">
        <v>4159.4925</v>
      </c>
      <c r="U149" s="7">
        <f t="shared" si="67"/>
        <v>0.41</v>
      </c>
      <c r="V149" s="11">
        <f t="shared" si="56"/>
        <v>4.02164446744405</v>
      </c>
      <c r="W149" s="7">
        <f t="shared" si="68"/>
        <v>0.09</v>
      </c>
      <c r="X149" s="11">
        <v>10</v>
      </c>
      <c r="Y149" s="7">
        <v>0</v>
      </c>
      <c r="Z149" s="11">
        <v>49.375</v>
      </c>
      <c r="AA149" s="7">
        <f t="shared" si="69"/>
        <v>0.43</v>
      </c>
      <c r="AB149" s="12">
        <f t="shared" si="57"/>
        <v>20.1082223372202</v>
      </c>
      <c r="AC149" s="13">
        <f t="shared" si="70"/>
        <v>0.09</v>
      </c>
    </row>
    <row r="150" spans="1:29">
      <c r="A150" s="14">
        <v>45745</v>
      </c>
      <c r="B150" s="15">
        <v>218000</v>
      </c>
      <c r="C150" s="7">
        <f t="shared" si="58"/>
        <v>0.11</v>
      </c>
      <c r="D150" s="16">
        <v>174</v>
      </c>
      <c r="E150" s="7">
        <f t="shared" si="59"/>
        <v>0.34</v>
      </c>
      <c r="F150" s="17">
        <v>334</v>
      </c>
      <c r="G150" s="7">
        <f t="shared" si="60"/>
        <v>0.29</v>
      </c>
      <c r="H150" s="17">
        <v>140</v>
      </c>
      <c r="I150" s="18">
        <f t="shared" si="61"/>
        <v>0.31</v>
      </c>
      <c r="J150" s="19">
        <v>27.4</v>
      </c>
      <c r="K150" s="18">
        <f t="shared" si="62"/>
        <v>0.45</v>
      </c>
      <c r="L150" s="20">
        <v>3.06</v>
      </c>
      <c r="M150" s="7">
        <f t="shared" si="63"/>
        <v>0.06</v>
      </c>
      <c r="N150" s="19">
        <v>30.9</v>
      </c>
      <c r="O150" s="7">
        <f t="shared" si="64"/>
        <v>0.08</v>
      </c>
      <c r="P150" s="21">
        <v>18.3</v>
      </c>
      <c r="Q150" s="7">
        <f t="shared" si="65"/>
        <v>0.31</v>
      </c>
      <c r="R150" s="11">
        <v>153759.72</v>
      </c>
      <c r="S150" s="7">
        <f t="shared" si="66"/>
        <v>0.35</v>
      </c>
      <c r="T150" s="11">
        <v>3843.99299999999</v>
      </c>
      <c r="U150" s="7">
        <f t="shared" si="67"/>
        <v>0.35</v>
      </c>
      <c r="V150" s="11">
        <f t="shared" si="56"/>
        <v>4.73544046516215</v>
      </c>
      <c r="W150" s="7">
        <f t="shared" si="68"/>
        <v>0.12</v>
      </c>
      <c r="X150" s="11">
        <v>10</v>
      </c>
      <c r="Y150" s="7">
        <v>0</v>
      </c>
      <c r="Z150" s="11">
        <v>51.5868263473054</v>
      </c>
      <c r="AA150" s="7">
        <f t="shared" si="69"/>
        <v>0.46</v>
      </c>
      <c r="AB150" s="12">
        <f t="shared" si="57"/>
        <v>23.6772023258107</v>
      </c>
      <c r="AC150" s="13">
        <f t="shared" si="70"/>
        <v>0.12</v>
      </c>
    </row>
    <row r="151" spans="1:29">
      <c r="A151" s="14">
        <v>45746</v>
      </c>
      <c r="B151" s="15">
        <v>205600</v>
      </c>
      <c r="C151" s="7">
        <f t="shared" si="58"/>
        <v>0.05</v>
      </c>
      <c r="D151" s="16">
        <v>180</v>
      </c>
      <c r="E151" s="7">
        <f t="shared" si="59"/>
        <v>0.36</v>
      </c>
      <c r="F151" s="17">
        <v>380</v>
      </c>
      <c r="G151" s="7">
        <f t="shared" si="60"/>
        <v>0.37</v>
      </c>
      <c r="H151" s="17">
        <v>128</v>
      </c>
      <c r="I151" s="18">
        <f t="shared" si="61"/>
        <v>0.28</v>
      </c>
      <c r="J151" s="19">
        <v>27.8</v>
      </c>
      <c r="K151" s="18">
        <f t="shared" si="62"/>
        <v>0.47</v>
      </c>
      <c r="L151" s="20">
        <v>4.43</v>
      </c>
      <c r="M151" s="7">
        <f t="shared" si="63"/>
        <v>0.14</v>
      </c>
      <c r="N151" s="19">
        <v>31.9</v>
      </c>
      <c r="O151" s="7">
        <f t="shared" si="64"/>
        <v>0.1</v>
      </c>
      <c r="P151" s="21">
        <v>18.2</v>
      </c>
      <c r="Q151" s="7">
        <f t="shared" si="65"/>
        <v>0.3</v>
      </c>
      <c r="R151" s="11">
        <v>181439.16</v>
      </c>
      <c r="S151" s="7">
        <f t="shared" si="66"/>
        <v>0.48</v>
      </c>
      <c r="T151" s="11">
        <v>4535.979</v>
      </c>
      <c r="U151" s="7">
        <f t="shared" si="67"/>
        <v>0.48</v>
      </c>
      <c r="V151" s="11">
        <f t="shared" si="56"/>
        <v>4.30601640792429</v>
      </c>
      <c r="W151" s="7">
        <f t="shared" si="68"/>
        <v>0.1</v>
      </c>
      <c r="X151" s="11">
        <v>10</v>
      </c>
      <c r="Y151" s="7">
        <v>0</v>
      </c>
      <c r="Z151" s="11">
        <v>46.8947368421053</v>
      </c>
      <c r="AA151" s="7">
        <f t="shared" si="69"/>
        <v>0.4</v>
      </c>
      <c r="AB151" s="12">
        <f t="shared" si="57"/>
        <v>21.5300820396214</v>
      </c>
      <c r="AC151" s="13">
        <f t="shared" si="70"/>
        <v>0.1</v>
      </c>
    </row>
    <row r="152" spans="1:29">
      <c r="A152" s="14">
        <v>45747</v>
      </c>
      <c r="B152" s="15">
        <v>216600</v>
      </c>
      <c r="C152" s="7">
        <f t="shared" si="58"/>
        <v>0.1</v>
      </c>
      <c r="D152" s="17">
        <v>186</v>
      </c>
      <c r="E152" s="7">
        <f t="shared" si="59"/>
        <v>0.38</v>
      </c>
      <c r="F152" s="17">
        <v>350</v>
      </c>
      <c r="G152" s="7">
        <f t="shared" si="60"/>
        <v>0.32</v>
      </c>
      <c r="H152" s="17">
        <v>88</v>
      </c>
      <c r="I152" s="18">
        <f t="shared" si="61"/>
        <v>0.18</v>
      </c>
      <c r="J152" s="19">
        <v>30.1</v>
      </c>
      <c r="K152" s="18">
        <f t="shared" si="62"/>
        <v>0.57</v>
      </c>
      <c r="L152" s="20">
        <v>4.03</v>
      </c>
      <c r="M152" s="7">
        <f t="shared" si="63"/>
        <v>0.12</v>
      </c>
      <c r="N152" s="19">
        <v>44.6</v>
      </c>
      <c r="O152" s="7">
        <f t="shared" si="64"/>
        <v>0.34</v>
      </c>
      <c r="P152" s="21">
        <v>18.1</v>
      </c>
      <c r="Q152" s="7">
        <f t="shared" si="65"/>
        <v>0.29</v>
      </c>
      <c r="R152" s="11">
        <v>147541.63</v>
      </c>
      <c r="S152" s="7">
        <f t="shared" si="66"/>
        <v>0.32</v>
      </c>
      <c r="T152" s="11">
        <v>3688.54074999999</v>
      </c>
      <c r="U152" s="7">
        <f t="shared" si="67"/>
        <v>0.32</v>
      </c>
      <c r="V152" s="11">
        <f t="shared" si="56"/>
        <v>5.13821082226082</v>
      </c>
      <c r="W152" s="7">
        <f t="shared" si="68"/>
        <v>0.14</v>
      </c>
      <c r="X152" s="11">
        <v>10</v>
      </c>
      <c r="Y152" s="7">
        <v>0</v>
      </c>
      <c r="Z152" s="11">
        <v>52.8285714285714</v>
      </c>
      <c r="AA152" s="7">
        <f t="shared" si="69"/>
        <v>0.48</v>
      </c>
      <c r="AB152" s="12">
        <f t="shared" si="57"/>
        <v>25.6910541113041</v>
      </c>
      <c r="AC152" s="13">
        <f t="shared" si="70"/>
        <v>0.14</v>
      </c>
    </row>
    <row r="153" spans="1:29">
      <c r="A153" s="14">
        <v>45748</v>
      </c>
      <c r="B153" s="15">
        <v>215100</v>
      </c>
      <c r="C153" s="7">
        <f t="shared" si="58"/>
        <v>0.09</v>
      </c>
      <c r="D153" s="16">
        <v>184</v>
      </c>
      <c r="E153" s="7">
        <f t="shared" si="59"/>
        <v>0.38</v>
      </c>
      <c r="F153" s="17">
        <v>275</v>
      </c>
      <c r="G153" s="7">
        <f t="shared" si="60"/>
        <v>0.19</v>
      </c>
      <c r="H153" s="17">
        <v>136</v>
      </c>
      <c r="I153" s="18">
        <f t="shared" si="61"/>
        <v>0.3</v>
      </c>
      <c r="J153" s="19">
        <v>26.4</v>
      </c>
      <c r="K153" s="18">
        <f t="shared" si="62"/>
        <v>0.4</v>
      </c>
      <c r="L153" s="20">
        <v>4.8</v>
      </c>
      <c r="M153" s="7">
        <f t="shared" si="63"/>
        <v>0.16</v>
      </c>
      <c r="N153" s="19">
        <v>47.2</v>
      </c>
      <c r="O153" s="7">
        <f t="shared" si="64"/>
        <v>0.39</v>
      </c>
      <c r="P153" s="21">
        <v>18</v>
      </c>
      <c r="Q153" s="7">
        <f t="shared" si="65"/>
        <v>0.28</v>
      </c>
      <c r="R153" s="11">
        <v>150428.343634308</v>
      </c>
      <c r="S153" s="7">
        <f t="shared" si="66"/>
        <v>0.33</v>
      </c>
      <c r="T153" s="11">
        <v>3760.7085908577</v>
      </c>
      <c r="U153" s="7">
        <f t="shared" si="67"/>
        <v>0.33</v>
      </c>
      <c r="V153" s="11">
        <f t="shared" si="56"/>
        <v>3.93227091191006</v>
      </c>
      <c r="W153" s="7">
        <f t="shared" si="68"/>
        <v>0.08</v>
      </c>
      <c r="X153" s="11">
        <v>10</v>
      </c>
      <c r="Y153" s="7">
        <v>0</v>
      </c>
      <c r="Z153" s="11">
        <v>66.4727272727273</v>
      </c>
      <c r="AA153" s="7">
        <f t="shared" si="69"/>
        <v>0.65</v>
      </c>
      <c r="AB153" s="12">
        <f t="shared" si="57"/>
        <v>19.6613545595503</v>
      </c>
      <c r="AC153" s="13">
        <f t="shared" si="70"/>
        <v>0.08</v>
      </c>
    </row>
    <row r="154" spans="1:29">
      <c r="A154" s="14">
        <v>45749</v>
      </c>
      <c r="B154" s="15">
        <v>214200</v>
      </c>
      <c r="C154" s="7">
        <f t="shared" si="58"/>
        <v>0.09</v>
      </c>
      <c r="D154" s="16">
        <v>209</v>
      </c>
      <c r="E154" s="7">
        <f t="shared" si="59"/>
        <v>0.46</v>
      </c>
      <c r="F154" s="17">
        <v>374</v>
      </c>
      <c r="G154" s="7">
        <f t="shared" si="60"/>
        <v>0.36</v>
      </c>
      <c r="H154" s="17">
        <v>184</v>
      </c>
      <c r="I154" s="18">
        <f t="shared" si="61"/>
        <v>0.41</v>
      </c>
      <c r="J154" s="19">
        <v>24.8</v>
      </c>
      <c r="K154" s="18">
        <f t="shared" si="62"/>
        <v>0.33</v>
      </c>
      <c r="L154" s="20">
        <v>7.23</v>
      </c>
      <c r="M154" s="7">
        <f t="shared" si="63"/>
        <v>0.3</v>
      </c>
      <c r="N154" s="19">
        <v>33.4</v>
      </c>
      <c r="O154" s="7">
        <f t="shared" si="64"/>
        <v>0.13</v>
      </c>
      <c r="P154" s="21">
        <v>17.7</v>
      </c>
      <c r="Q154" s="7">
        <f t="shared" si="65"/>
        <v>0.25</v>
      </c>
      <c r="R154" s="11">
        <v>182636.404835924</v>
      </c>
      <c r="S154" s="7">
        <f t="shared" si="66"/>
        <v>0.49</v>
      </c>
      <c r="T154" s="11">
        <v>4565.9101208981</v>
      </c>
      <c r="U154" s="7">
        <f t="shared" si="67"/>
        <v>0.49</v>
      </c>
      <c r="V154" s="11">
        <f t="shared" si="56"/>
        <v>4.38635441121224</v>
      </c>
      <c r="W154" s="7">
        <f t="shared" si="68"/>
        <v>0.11</v>
      </c>
      <c r="X154" s="11">
        <v>10</v>
      </c>
      <c r="Y154" s="7">
        <v>0</v>
      </c>
      <c r="Z154" s="11">
        <v>55.6149732620321</v>
      </c>
      <c r="AA154" s="7">
        <f t="shared" si="69"/>
        <v>0.51</v>
      </c>
      <c r="AB154" s="12">
        <f t="shared" si="57"/>
        <v>21.9317720560612</v>
      </c>
      <c r="AC154" s="13">
        <f t="shared" si="70"/>
        <v>0.11</v>
      </c>
    </row>
    <row r="155" spans="1:29">
      <c r="A155" s="14">
        <v>45750</v>
      </c>
      <c r="B155" s="15">
        <v>213000</v>
      </c>
      <c r="C155" s="7">
        <f t="shared" si="58"/>
        <v>0.08</v>
      </c>
      <c r="D155" s="16">
        <v>174</v>
      </c>
      <c r="E155" s="7">
        <f t="shared" si="59"/>
        <v>0.34</v>
      </c>
      <c r="F155" s="17">
        <v>350</v>
      </c>
      <c r="G155" s="7">
        <f t="shared" si="60"/>
        <v>0.32</v>
      </c>
      <c r="H155" s="17">
        <v>168</v>
      </c>
      <c r="I155" s="18">
        <f t="shared" si="61"/>
        <v>0.38</v>
      </c>
      <c r="J155" s="19">
        <v>24.6</v>
      </c>
      <c r="K155" s="18">
        <f t="shared" si="62"/>
        <v>0.32</v>
      </c>
      <c r="L155" s="20">
        <v>5.55</v>
      </c>
      <c r="M155" s="7">
        <f t="shared" si="63"/>
        <v>0.2</v>
      </c>
      <c r="N155" s="19">
        <v>27.8</v>
      </c>
      <c r="O155" s="7">
        <f t="shared" si="64"/>
        <v>0.02</v>
      </c>
      <c r="P155" s="21">
        <v>17.6</v>
      </c>
      <c r="Q155" s="7">
        <f t="shared" si="65"/>
        <v>0.25</v>
      </c>
      <c r="R155" s="11">
        <v>133464.4517728</v>
      </c>
      <c r="S155" s="7">
        <f t="shared" si="66"/>
        <v>0.25</v>
      </c>
      <c r="T155" s="11">
        <v>3336.61129432001</v>
      </c>
      <c r="U155" s="7">
        <f t="shared" si="67"/>
        <v>0.25</v>
      </c>
      <c r="V155" s="11">
        <f t="shared" si="56"/>
        <v>5.5857570319105</v>
      </c>
      <c r="W155" s="7">
        <f t="shared" si="68"/>
        <v>0.17</v>
      </c>
      <c r="X155" s="11">
        <v>10</v>
      </c>
      <c r="Y155" s="7">
        <v>0</v>
      </c>
      <c r="Z155" s="11">
        <v>49.3714285714286</v>
      </c>
      <c r="AA155" s="7">
        <f t="shared" si="69"/>
        <v>0.43</v>
      </c>
      <c r="AB155" s="12">
        <f t="shared" si="57"/>
        <v>27.9287851595525</v>
      </c>
      <c r="AC155" s="13">
        <f t="shared" si="70"/>
        <v>0.17</v>
      </c>
    </row>
    <row r="156" spans="1:29">
      <c r="A156" s="14">
        <v>45751</v>
      </c>
      <c r="B156" s="15">
        <v>212000</v>
      </c>
      <c r="C156" s="7">
        <f t="shared" si="58"/>
        <v>0.08</v>
      </c>
      <c r="D156" s="16">
        <v>192</v>
      </c>
      <c r="E156" s="7">
        <f t="shared" si="59"/>
        <v>0.4</v>
      </c>
      <c r="F156" s="17">
        <v>367</v>
      </c>
      <c r="G156" s="7">
        <f t="shared" si="60"/>
        <v>0.35</v>
      </c>
      <c r="H156" s="17">
        <v>176</v>
      </c>
      <c r="I156" s="18">
        <f t="shared" si="61"/>
        <v>0.39</v>
      </c>
      <c r="J156" s="19">
        <v>29.1</v>
      </c>
      <c r="K156" s="18">
        <f t="shared" si="62"/>
        <v>0.53</v>
      </c>
      <c r="L156" s="20">
        <v>6.77</v>
      </c>
      <c r="M156" s="7">
        <f t="shared" si="63"/>
        <v>0.27</v>
      </c>
      <c r="N156" s="19">
        <v>34.5</v>
      </c>
      <c r="O156" s="7">
        <f t="shared" si="64"/>
        <v>0.15</v>
      </c>
      <c r="P156" s="21">
        <v>17.5</v>
      </c>
      <c r="Q156" s="7">
        <f t="shared" si="65"/>
        <v>0.24</v>
      </c>
      <c r="R156" s="11">
        <v>155280.959000224</v>
      </c>
      <c r="S156" s="7">
        <f t="shared" si="66"/>
        <v>0.36</v>
      </c>
      <c r="T156" s="11">
        <v>3882.02397500561</v>
      </c>
      <c r="U156" s="7">
        <f t="shared" si="67"/>
        <v>0.36</v>
      </c>
      <c r="V156" s="11">
        <f t="shared" si="56"/>
        <v>5.01053062145807</v>
      </c>
      <c r="W156" s="7">
        <f t="shared" si="68"/>
        <v>0.14</v>
      </c>
      <c r="X156" s="11">
        <v>10</v>
      </c>
      <c r="Y156" s="7">
        <v>0</v>
      </c>
      <c r="Z156" s="11">
        <v>51.9073569482289</v>
      </c>
      <c r="AA156" s="7">
        <f t="shared" si="69"/>
        <v>0.47</v>
      </c>
      <c r="AB156" s="12">
        <f t="shared" si="57"/>
        <v>25.0526531072904</v>
      </c>
      <c r="AC156" s="13">
        <f t="shared" si="70"/>
        <v>0.14</v>
      </c>
    </row>
    <row r="157" spans="1:29">
      <c r="A157" s="14">
        <v>45752</v>
      </c>
      <c r="B157" s="15">
        <v>213400</v>
      </c>
      <c r="C157" s="7">
        <f t="shared" si="58"/>
        <v>0.09</v>
      </c>
      <c r="D157" s="16">
        <v>183</v>
      </c>
      <c r="E157" s="7">
        <f t="shared" si="59"/>
        <v>0.37</v>
      </c>
      <c r="F157" s="17">
        <v>327</v>
      </c>
      <c r="G157" s="7">
        <f t="shared" si="60"/>
        <v>0.28</v>
      </c>
      <c r="H157" s="17">
        <v>132</v>
      </c>
      <c r="I157" s="18">
        <f t="shared" si="61"/>
        <v>0.29</v>
      </c>
      <c r="J157" s="19">
        <v>26.4</v>
      </c>
      <c r="K157" s="18">
        <f t="shared" si="62"/>
        <v>0.4</v>
      </c>
      <c r="L157" s="20">
        <v>3.94</v>
      </c>
      <c r="M157" s="7">
        <f t="shared" si="63"/>
        <v>0.11</v>
      </c>
      <c r="N157" s="19">
        <v>35.1</v>
      </c>
      <c r="O157" s="7">
        <f t="shared" si="64"/>
        <v>0.16</v>
      </c>
      <c r="P157" s="21">
        <v>17.5</v>
      </c>
      <c r="Q157" s="7">
        <f t="shared" si="65"/>
        <v>0.24</v>
      </c>
      <c r="R157" s="11">
        <v>144735.305758313</v>
      </c>
      <c r="S157" s="7">
        <f t="shared" si="66"/>
        <v>0.31</v>
      </c>
      <c r="T157" s="11">
        <v>3618.38264395783</v>
      </c>
      <c r="U157" s="7">
        <f t="shared" si="67"/>
        <v>0.31</v>
      </c>
      <c r="V157" s="11">
        <f t="shared" si="56"/>
        <v>4.82133917736184</v>
      </c>
      <c r="W157" s="7">
        <f t="shared" si="68"/>
        <v>0.13</v>
      </c>
      <c r="X157" s="11">
        <v>10</v>
      </c>
      <c r="Y157" s="7">
        <v>0</v>
      </c>
      <c r="Z157" s="11">
        <v>55.474006116208</v>
      </c>
      <c r="AA157" s="7">
        <f t="shared" si="69"/>
        <v>0.51</v>
      </c>
      <c r="AB157" s="12">
        <f t="shared" si="57"/>
        <v>24.1066958868092</v>
      </c>
      <c r="AC157" s="13">
        <f t="shared" si="70"/>
        <v>0.13</v>
      </c>
    </row>
    <row r="158" spans="1:29">
      <c r="A158" s="14">
        <v>45753</v>
      </c>
      <c r="B158" s="15">
        <v>207000</v>
      </c>
      <c r="C158" s="7">
        <f t="shared" si="58"/>
        <v>0.06</v>
      </c>
      <c r="D158" s="16">
        <v>227</v>
      </c>
      <c r="E158" s="7">
        <f t="shared" si="59"/>
        <v>0.52</v>
      </c>
      <c r="F158" s="17">
        <v>429</v>
      </c>
      <c r="G158" s="7">
        <f t="shared" si="60"/>
        <v>0.46</v>
      </c>
      <c r="H158" s="17">
        <v>136</v>
      </c>
      <c r="I158" s="18">
        <f t="shared" si="61"/>
        <v>0.3</v>
      </c>
      <c r="J158" s="19">
        <v>32.2</v>
      </c>
      <c r="K158" s="18">
        <f t="shared" si="62"/>
        <v>0.67</v>
      </c>
      <c r="L158" s="20">
        <v>4.43</v>
      </c>
      <c r="M158" s="7">
        <f t="shared" si="63"/>
        <v>0.14</v>
      </c>
      <c r="N158" s="19">
        <v>47.5</v>
      </c>
      <c r="O158" s="7">
        <f t="shared" si="64"/>
        <v>0.4</v>
      </c>
      <c r="P158" s="21">
        <v>17.6</v>
      </c>
      <c r="Q158" s="7">
        <f t="shared" si="65"/>
        <v>0.25</v>
      </c>
      <c r="R158" s="11">
        <v>162506.196071403</v>
      </c>
      <c r="S158" s="7">
        <f t="shared" si="66"/>
        <v>0.39</v>
      </c>
      <c r="T158" s="11">
        <v>4062.65490178507</v>
      </c>
      <c r="U158" s="7">
        <f t="shared" si="67"/>
        <v>0.39</v>
      </c>
      <c r="V158" s="11">
        <f t="shared" si="56"/>
        <v>5.46459163692326</v>
      </c>
      <c r="W158" s="7">
        <f t="shared" si="68"/>
        <v>0.16</v>
      </c>
      <c r="X158" s="11">
        <v>10</v>
      </c>
      <c r="Y158" s="7">
        <v>0</v>
      </c>
      <c r="Z158" s="11">
        <v>52.5874125874126</v>
      </c>
      <c r="AA158" s="7">
        <f t="shared" si="69"/>
        <v>0.47</v>
      </c>
      <c r="AB158" s="12">
        <f t="shared" si="57"/>
        <v>27.3229581846163</v>
      </c>
      <c r="AC158" s="13">
        <f t="shared" si="70"/>
        <v>0.16</v>
      </c>
    </row>
    <row r="159" spans="1:29">
      <c r="A159" s="14">
        <v>45754</v>
      </c>
      <c r="B159" s="15">
        <v>207300</v>
      </c>
      <c r="C159" s="7">
        <f t="shared" si="58"/>
        <v>0.06</v>
      </c>
      <c r="D159" s="16">
        <v>210</v>
      </c>
      <c r="E159" s="7">
        <f t="shared" si="59"/>
        <v>0.46</v>
      </c>
      <c r="F159" s="17">
        <v>417</v>
      </c>
      <c r="G159" s="7">
        <f t="shared" si="60"/>
        <v>0.44</v>
      </c>
      <c r="H159" s="17">
        <v>176</v>
      </c>
      <c r="I159" s="18">
        <f t="shared" si="61"/>
        <v>0.39</v>
      </c>
      <c r="J159" s="19">
        <v>28.4</v>
      </c>
      <c r="K159" s="18">
        <f t="shared" si="62"/>
        <v>0.49</v>
      </c>
      <c r="L159" s="20">
        <v>4.36</v>
      </c>
      <c r="M159" s="7">
        <f t="shared" si="63"/>
        <v>0.14</v>
      </c>
      <c r="N159" s="19">
        <v>44.6</v>
      </c>
      <c r="O159" s="7">
        <f t="shared" si="64"/>
        <v>0.34</v>
      </c>
      <c r="P159" s="21">
        <v>17.7</v>
      </c>
      <c r="Q159" s="7">
        <f t="shared" si="65"/>
        <v>0.25</v>
      </c>
      <c r="R159" s="11">
        <v>173201.381235392</v>
      </c>
      <c r="S159" s="7">
        <f t="shared" si="66"/>
        <v>0.44</v>
      </c>
      <c r="T159" s="11">
        <v>4330.0345308848</v>
      </c>
      <c r="U159" s="7">
        <f t="shared" si="67"/>
        <v>0.44</v>
      </c>
      <c r="V159" s="11">
        <f t="shared" si="56"/>
        <v>4.99095904336449</v>
      </c>
      <c r="W159" s="7">
        <f t="shared" si="68"/>
        <v>0.14</v>
      </c>
      <c r="X159" s="11">
        <v>10</v>
      </c>
      <c r="Y159" s="7">
        <v>0</v>
      </c>
      <c r="Z159" s="11">
        <v>49.9520383693046</v>
      </c>
      <c r="AA159" s="7">
        <f t="shared" si="69"/>
        <v>0.44</v>
      </c>
      <c r="AB159" s="12">
        <f t="shared" si="57"/>
        <v>24.9547952168224</v>
      </c>
      <c r="AC159" s="13">
        <f t="shared" si="70"/>
        <v>0.14</v>
      </c>
    </row>
    <row r="160" spans="1:29">
      <c r="A160" s="14">
        <v>45755</v>
      </c>
      <c r="B160" s="15">
        <v>201100</v>
      </c>
      <c r="C160" s="7">
        <f t="shared" si="58"/>
        <v>0.03</v>
      </c>
      <c r="D160" s="16">
        <v>184</v>
      </c>
      <c r="E160" s="7">
        <f t="shared" si="59"/>
        <v>0.38</v>
      </c>
      <c r="F160" s="17">
        <v>506</v>
      </c>
      <c r="G160" s="7">
        <f t="shared" si="60"/>
        <v>0.59</v>
      </c>
      <c r="H160" s="17">
        <v>108</v>
      </c>
      <c r="I160" s="18">
        <f t="shared" si="61"/>
        <v>0.23</v>
      </c>
      <c r="J160" s="19">
        <v>30.1</v>
      </c>
      <c r="K160" s="18">
        <f t="shared" si="62"/>
        <v>0.57</v>
      </c>
      <c r="L160" s="20">
        <v>3.7</v>
      </c>
      <c r="M160" s="7">
        <f t="shared" si="63"/>
        <v>0.1</v>
      </c>
      <c r="N160" s="19">
        <v>32.4</v>
      </c>
      <c r="O160" s="7">
        <f t="shared" si="64"/>
        <v>0.11</v>
      </c>
      <c r="P160" s="21">
        <v>17.9</v>
      </c>
      <c r="Q160" s="7">
        <f t="shared" si="65"/>
        <v>0.27</v>
      </c>
      <c r="R160" s="11">
        <v>194384.443412527</v>
      </c>
      <c r="S160" s="7">
        <f t="shared" si="66"/>
        <v>0.54</v>
      </c>
      <c r="T160" s="11">
        <v>4859.61108531318</v>
      </c>
      <c r="U160" s="7">
        <f t="shared" si="67"/>
        <v>0.54</v>
      </c>
      <c r="V160" s="11">
        <f t="shared" si="56"/>
        <v>5.23481191259991</v>
      </c>
      <c r="W160" s="7">
        <f t="shared" si="68"/>
        <v>0.15</v>
      </c>
      <c r="X160" s="11">
        <v>10</v>
      </c>
      <c r="Y160" s="7">
        <v>0</v>
      </c>
      <c r="Z160" s="11">
        <v>36.1067193675889</v>
      </c>
      <c r="AA160" s="7">
        <f t="shared" si="69"/>
        <v>0.27</v>
      </c>
      <c r="AB160" s="12">
        <f t="shared" si="57"/>
        <v>26.1740595629995</v>
      </c>
      <c r="AC160" s="13">
        <f t="shared" si="70"/>
        <v>0.15</v>
      </c>
    </row>
    <row r="161" spans="1:29">
      <c r="A161" s="14">
        <v>45756</v>
      </c>
      <c r="B161" s="15">
        <v>194200</v>
      </c>
      <c r="C161" s="7">
        <f t="shared" si="58"/>
        <v>0</v>
      </c>
      <c r="D161" s="16">
        <v>146</v>
      </c>
      <c r="E161" s="7">
        <f t="shared" si="59"/>
        <v>0.25</v>
      </c>
      <c r="F161" s="17">
        <v>359</v>
      </c>
      <c r="G161" s="7">
        <f t="shared" si="60"/>
        <v>0.34</v>
      </c>
      <c r="H161" s="17">
        <v>136</v>
      </c>
      <c r="I161" s="18">
        <f t="shared" si="61"/>
        <v>0.3</v>
      </c>
      <c r="J161" s="19">
        <v>28.4</v>
      </c>
      <c r="K161" s="18">
        <f t="shared" si="62"/>
        <v>0.49</v>
      </c>
      <c r="L161" s="20">
        <v>4.02</v>
      </c>
      <c r="M161" s="7">
        <f t="shared" si="63"/>
        <v>0.12</v>
      </c>
      <c r="N161" s="19">
        <v>32.4</v>
      </c>
      <c r="O161" s="7">
        <f t="shared" si="64"/>
        <v>0.11</v>
      </c>
      <c r="P161" s="21">
        <v>18.1</v>
      </c>
      <c r="Q161" s="7">
        <f t="shared" si="65"/>
        <v>0.29</v>
      </c>
      <c r="R161" s="11">
        <v>161627.766194953</v>
      </c>
      <c r="S161" s="7">
        <f t="shared" si="66"/>
        <v>0.39</v>
      </c>
      <c r="T161" s="11">
        <v>4040.69415487382</v>
      </c>
      <c r="U161" s="7">
        <f t="shared" si="67"/>
        <v>0.39</v>
      </c>
      <c r="V161" s="11">
        <f t="shared" si="56"/>
        <v>4.31347915282746</v>
      </c>
      <c r="W161" s="7">
        <f t="shared" si="68"/>
        <v>0.1</v>
      </c>
      <c r="X161" s="11">
        <v>10</v>
      </c>
      <c r="Y161" s="7">
        <v>0</v>
      </c>
      <c r="Z161" s="11">
        <v>40.2785515320334</v>
      </c>
      <c r="AA161" s="7">
        <f t="shared" si="69"/>
        <v>0.32</v>
      </c>
      <c r="AB161" s="12">
        <f t="shared" si="57"/>
        <v>21.5673957641373</v>
      </c>
      <c r="AC161" s="13">
        <f t="shared" si="70"/>
        <v>0.1</v>
      </c>
    </row>
    <row r="162" spans="1:29">
      <c r="A162" s="14">
        <v>45757</v>
      </c>
      <c r="B162" s="15">
        <v>217100</v>
      </c>
      <c r="C162" s="7">
        <f t="shared" si="58"/>
        <v>0.1</v>
      </c>
      <c r="D162" s="16">
        <v>135</v>
      </c>
      <c r="E162" s="7">
        <f t="shared" si="59"/>
        <v>0.21</v>
      </c>
      <c r="F162" s="17">
        <v>329</v>
      </c>
      <c r="G162" s="7">
        <f t="shared" si="60"/>
        <v>0.29</v>
      </c>
      <c r="H162" s="17">
        <v>220</v>
      </c>
      <c r="I162" s="18">
        <f t="shared" si="61"/>
        <v>0.5</v>
      </c>
      <c r="J162" s="19">
        <v>28.6</v>
      </c>
      <c r="K162" s="18">
        <f t="shared" si="62"/>
        <v>0.5</v>
      </c>
      <c r="L162" s="20">
        <v>4.7</v>
      </c>
      <c r="M162" s="7">
        <f t="shared" si="63"/>
        <v>0.16</v>
      </c>
      <c r="N162" s="19">
        <v>44.7</v>
      </c>
      <c r="O162" s="7">
        <f t="shared" si="64"/>
        <v>0.34</v>
      </c>
      <c r="P162" s="21">
        <v>18.3</v>
      </c>
      <c r="Q162" s="7">
        <f t="shared" si="65"/>
        <v>0.31</v>
      </c>
      <c r="R162" s="11">
        <v>179048.092858709</v>
      </c>
      <c r="S162" s="7">
        <f t="shared" si="66"/>
        <v>0.47</v>
      </c>
      <c r="T162" s="11">
        <v>4476.20232146772</v>
      </c>
      <c r="U162" s="7">
        <f t="shared" si="67"/>
        <v>0.47</v>
      </c>
      <c r="V162" s="11">
        <f t="shared" si="56"/>
        <v>3.98920194343337</v>
      </c>
      <c r="W162" s="7">
        <f t="shared" si="68"/>
        <v>0.09</v>
      </c>
      <c r="X162" s="11">
        <v>10</v>
      </c>
      <c r="Y162" s="7">
        <v>0</v>
      </c>
      <c r="Z162" s="11">
        <v>40.7598784194529</v>
      </c>
      <c r="AA162" s="7">
        <f t="shared" si="69"/>
        <v>0.33</v>
      </c>
      <c r="AB162" s="12">
        <f t="shared" si="57"/>
        <v>19.9460097171669</v>
      </c>
      <c r="AC162" s="13">
        <f t="shared" si="70"/>
        <v>0.09</v>
      </c>
    </row>
    <row r="163" spans="1:29">
      <c r="A163" s="14">
        <v>45758</v>
      </c>
      <c r="B163" s="15">
        <v>232500</v>
      </c>
      <c r="C163" s="7">
        <f t="shared" ref="C163:C182" si="71">ROUND((B163-MIN($B$2:$B$182))/(MAX($B$2:$B$182)-MIN($B$2:$B$182)),2)</f>
        <v>0.17</v>
      </c>
      <c r="D163" s="16">
        <v>119</v>
      </c>
      <c r="E163" s="7">
        <f t="shared" ref="E163:E182" si="72">ROUND((D163-MIN($D$2:$D$182))/(MAX($D$2:$D$182)-MIN($D$2:$D$182)),2)</f>
        <v>0.15</v>
      </c>
      <c r="F163" s="17">
        <v>314</v>
      </c>
      <c r="G163" s="7">
        <f t="shared" ref="G163:G182" si="73">ROUND((F163-MIN($F$2:$F$182))/(MAX($F$2:$F$182)-MIN($F$2:$F$182)),2)</f>
        <v>0.26</v>
      </c>
      <c r="H163" s="17">
        <v>212</v>
      </c>
      <c r="I163" s="18">
        <f t="shared" ref="I163:I182" si="74">ROUND((H163-MIN($H$2:$H$182))/(MAX($H$2:$H$182)-MIN($H$2:$H$182)),2)</f>
        <v>0.48</v>
      </c>
      <c r="J163" s="19">
        <v>34.3</v>
      </c>
      <c r="K163" s="18">
        <f t="shared" ref="K163:K182" si="75">ROUND((J163-MIN($J$2:$J$182))/(MAX($J$2:$J$182)-MIN($J$2:$J$182)),2)</f>
        <v>0.76</v>
      </c>
      <c r="L163" s="20">
        <v>4.33</v>
      </c>
      <c r="M163" s="7">
        <f t="shared" ref="M163:M182" si="76">ROUND((L163-MIN($L$2:$L$182))/(MAX($L$2:$L$182)-MIN($L$2:$L$182)),2)</f>
        <v>0.13</v>
      </c>
      <c r="N163" s="19">
        <v>42.6</v>
      </c>
      <c r="O163" s="7">
        <f t="shared" ref="O163:O182" si="77">ROUND((N163-MIN($N$2:$N$182))/(MAX($N$2:$N$182)-MIN($N$2:$N$182)),2)</f>
        <v>0.3</v>
      </c>
      <c r="P163" s="21">
        <v>18.5</v>
      </c>
      <c r="Q163" s="7">
        <f t="shared" ref="Q163:Q182" si="78">ROUND((P163-MIN($P$2:$P$182))/(MAX($P$2:$P$182)-MIN($P$2:$P$182)),2)</f>
        <v>0.32</v>
      </c>
      <c r="R163" s="11">
        <v>185881.359707479</v>
      </c>
      <c r="S163" s="7">
        <f t="shared" ref="S163:S182" si="79">ROUND((R163-MIN($R$2:$R$182))/(MAX($R$2:$R$182)-MIN($R$2:$R$182)),2)</f>
        <v>0.5</v>
      </c>
      <c r="T163" s="11">
        <v>4647.03399268698</v>
      </c>
      <c r="U163" s="7">
        <f t="shared" ref="U163:U182" si="80">ROUND((T163-MIN($T$2:$T$182))/(MAX($T$2:$T$182)-MIN($T$2:$T$182)),2)</f>
        <v>0.5</v>
      </c>
      <c r="V163" s="11">
        <f t="shared" si="56"/>
        <v>3.92750516323356</v>
      </c>
      <c r="W163" s="7">
        <f t="shared" ref="W163:W182" si="81">ROUND((V163-MIN($V$2:$V$182))/(MAX($V$2:$V$182)-MIN($V$2:$V$182)),2)</f>
        <v>0.08</v>
      </c>
      <c r="X163" s="11">
        <v>10</v>
      </c>
      <c r="Y163" s="7">
        <v>0</v>
      </c>
      <c r="Z163" s="11">
        <v>37.6114649681529</v>
      </c>
      <c r="AA163" s="7">
        <f t="shared" ref="AA163:AA182" si="82">ROUND((Z163-MIN($Z$2:$Z$182))/(MAX($Z$2:$Z$182)-MIN($Z$2:$Z$182)),2)</f>
        <v>0.29</v>
      </c>
      <c r="AB163" s="12">
        <f t="shared" si="57"/>
        <v>19.6375258161678</v>
      </c>
      <c r="AC163" s="13">
        <f t="shared" ref="AC163:AC182" si="83">ROUND((AB163-MIN($AB$2:$AB$182))/(MAX($AB$2:$AB$182)-MIN($AB$2:$AB$182)),2)</f>
        <v>0.08</v>
      </c>
    </row>
    <row r="164" spans="1:29">
      <c r="A164" s="14">
        <v>45759</v>
      </c>
      <c r="B164" s="15">
        <v>211000</v>
      </c>
      <c r="C164" s="7">
        <f t="shared" si="71"/>
        <v>0.08</v>
      </c>
      <c r="D164" s="16">
        <v>164</v>
      </c>
      <c r="E164" s="7">
        <f t="shared" si="72"/>
        <v>0.31</v>
      </c>
      <c r="F164" s="17">
        <v>291</v>
      </c>
      <c r="G164" s="7">
        <f t="shared" si="73"/>
        <v>0.22</v>
      </c>
      <c r="H164" s="17">
        <v>120</v>
      </c>
      <c r="I164" s="18">
        <f t="shared" si="74"/>
        <v>0.26</v>
      </c>
      <c r="J164" s="19">
        <v>32.2</v>
      </c>
      <c r="K164" s="18">
        <f t="shared" si="75"/>
        <v>0.67</v>
      </c>
      <c r="L164" s="20">
        <v>4.23</v>
      </c>
      <c r="M164" s="7">
        <f t="shared" si="76"/>
        <v>0.13</v>
      </c>
      <c r="N164" s="19">
        <v>38.2</v>
      </c>
      <c r="O164" s="7">
        <f t="shared" si="77"/>
        <v>0.22</v>
      </c>
      <c r="P164" s="21">
        <v>18.8</v>
      </c>
      <c r="Q164" s="7">
        <f t="shared" si="78"/>
        <v>0.35</v>
      </c>
      <c r="R164" s="11">
        <v>204954.990575357</v>
      </c>
      <c r="S164" s="7">
        <f t="shared" si="79"/>
        <v>0.59</v>
      </c>
      <c r="T164" s="11">
        <v>5123.87476438393</v>
      </c>
      <c r="U164" s="7">
        <f t="shared" si="80"/>
        <v>0.59</v>
      </c>
      <c r="V164" s="11">
        <f t="shared" si="56"/>
        <v>2.99582849032526</v>
      </c>
      <c r="W164" s="7">
        <f t="shared" si="81"/>
        <v>0.04</v>
      </c>
      <c r="X164" s="11">
        <v>10</v>
      </c>
      <c r="Y164" s="7">
        <v>0</v>
      </c>
      <c r="Z164" s="11">
        <v>56.1168384879725</v>
      </c>
      <c r="AA164" s="7">
        <f t="shared" si="82"/>
        <v>0.52</v>
      </c>
      <c r="AB164" s="12">
        <f t="shared" si="57"/>
        <v>14.9791424516263</v>
      </c>
      <c r="AC164" s="13">
        <f t="shared" si="83"/>
        <v>0.04</v>
      </c>
    </row>
    <row r="165" spans="1:29">
      <c r="A165" s="14">
        <v>45760</v>
      </c>
      <c r="B165" s="15">
        <v>220000</v>
      </c>
      <c r="C165" s="7">
        <f t="shared" si="71"/>
        <v>0.12</v>
      </c>
      <c r="D165" s="16">
        <v>134</v>
      </c>
      <c r="E165" s="7">
        <f t="shared" si="72"/>
        <v>0.21</v>
      </c>
      <c r="F165" s="17">
        <v>398</v>
      </c>
      <c r="G165" s="7">
        <f t="shared" si="73"/>
        <v>0.41</v>
      </c>
      <c r="H165" s="17">
        <v>132</v>
      </c>
      <c r="I165" s="18">
        <f t="shared" si="74"/>
        <v>0.29</v>
      </c>
      <c r="J165" s="19">
        <v>32.1</v>
      </c>
      <c r="K165" s="18">
        <f t="shared" si="75"/>
        <v>0.66</v>
      </c>
      <c r="L165" s="20">
        <v>4.47</v>
      </c>
      <c r="M165" s="7">
        <f t="shared" si="76"/>
        <v>0.14</v>
      </c>
      <c r="N165" s="19">
        <v>41.6</v>
      </c>
      <c r="O165" s="7">
        <f t="shared" si="77"/>
        <v>0.28</v>
      </c>
      <c r="P165" s="21">
        <v>19</v>
      </c>
      <c r="Q165" s="7">
        <f t="shared" si="78"/>
        <v>0.36</v>
      </c>
      <c r="R165" s="11">
        <v>176458.088088458</v>
      </c>
      <c r="S165" s="7">
        <f t="shared" si="79"/>
        <v>0.46</v>
      </c>
      <c r="T165" s="11">
        <v>4411.45220221145</v>
      </c>
      <c r="U165" s="7">
        <f t="shared" si="80"/>
        <v>0.46</v>
      </c>
      <c r="V165" s="11">
        <f t="shared" si="56"/>
        <v>4.96208481847012</v>
      </c>
      <c r="W165" s="7">
        <f t="shared" si="81"/>
        <v>0.14</v>
      </c>
      <c r="X165" s="11">
        <v>10</v>
      </c>
      <c r="Y165" s="7">
        <v>0</v>
      </c>
      <c r="Z165" s="11">
        <v>33.4924623115578</v>
      </c>
      <c r="AA165" s="7">
        <f t="shared" si="82"/>
        <v>0.23</v>
      </c>
      <c r="AB165" s="12">
        <f t="shared" si="57"/>
        <v>24.8104240923506</v>
      </c>
      <c r="AC165" s="13">
        <f t="shared" si="83"/>
        <v>0.14</v>
      </c>
    </row>
    <row r="166" spans="1:29">
      <c r="A166" s="14">
        <v>45761</v>
      </c>
      <c r="B166" s="15">
        <v>218300</v>
      </c>
      <c r="C166" s="7">
        <f t="shared" si="71"/>
        <v>0.11</v>
      </c>
      <c r="D166" s="16">
        <v>164</v>
      </c>
      <c r="E166" s="7">
        <f t="shared" si="72"/>
        <v>0.31</v>
      </c>
      <c r="F166" s="17">
        <v>494</v>
      </c>
      <c r="G166" s="7">
        <f t="shared" si="73"/>
        <v>0.57</v>
      </c>
      <c r="H166" s="17">
        <v>316</v>
      </c>
      <c r="I166" s="18">
        <f t="shared" si="74"/>
        <v>0.73</v>
      </c>
      <c r="J166" s="19">
        <v>29.3</v>
      </c>
      <c r="K166" s="18">
        <f t="shared" si="75"/>
        <v>0.53</v>
      </c>
      <c r="L166" s="20">
        <v>7.57</v>
      </c>
      <c r="M166" s="7">
        <f t="shared" si="76"/>
        <v>0.32</v>
      </c>
      <c r="N166" s="19">
        <v>49.4</v>
      </c>
      <c r="O166" s="7">
        <f t="shared" si="77"/>
        <v>0.43</v>
      </c>
      <c r="P166" s="21">
        <v>19</v>
      </c>
      <c r="Q166" s="7">
        <f t="shared" si="78"/>
        <v>0.36</v>
      </c>
      <c r="R166" s="11">
        <v>195846.319721104</v>
      </c>
      <c r="S166" s="7">
        <f t="shared" si="79"/>
        <v>0.55</v>
      </c>
      <c r="T166" s="11">
        <v>4896.15799302761</v>
      </c>
      <c r="U166" s="7">
        <f t="shared" si="80"/>
        <v>0.55</v>
      </c>
      <c r="V166" s="11">
        <f t="shared" si="56"/>
        <v>5.50636847062381</v>
      </c>
      <c r="W166" s="7">
        <f t="shared" si="81"/>
        <v>0.16</v>
      </c>
      <c r="X166" s="11">
        <v>10</v>
      </c>
      <c r="Y166" s="7">
        <v>0</v>
      </c>
      <c r="Z166" s="11">
        <v>33.0769230769231</v>
      </c>
      <c r="AA166" s="7">
        <f t="shared" si="82"/>
        <v>0.23</v>
      </c>
      <c r="AB166" s="12">
        <f t="shared" si="57"/>
        <v>27.5318423531191</v>
      </c>
      <c r="AC166" s="13">
        <f t="shared" si="83"/>
        <v>0.16</v>
      </c>
    </row>
    <row r="167" spans="1:29">
      <c r="A167" s="14">
        <v>45762</v>
      </c>
      <c r="B167" s="15">
        <v>228700</v>
      </c>
      <c r="C167" s="7">
        <f t="shared" si="71"/>
        <v>0.15</v>
      </c>
      <c r="D167" s="16">
        <v>214</v>
      </c>
      <c r="E167" s="7">
        <f t="shared" si="72"/>
        <v>0.48</v>
      </c>
      <c r="F167" s="17">
        <v>420</v>
      </c>
      <c r="G167" s="7">
        <f t="shared" si="73"/>
        <v>0.44</v>
      </c>
      <c r="H167" s="17">
        <v>252</v>
      </c>
      <c r="I167" s="18">
        <f t="shared" si="74"/>
        <v>0.58</v>
      </c>
      <c r="J167" s="19">
        <v>28</v>
      </c>
      <c r="K167" s="18">
        <f t="shared" si="75"/>
        <v>0.47</v>
      </c>
      <c r="L167" s="20">
        <v>5.5</v>
      </c>
      <c r="M167" s="7">
        <f t="shared" si="76"/>
        <v>0.2</v>
      </c>
      <c r="N167" s="19">
        <v>47.5</v>
      </c>
      <c r="O167" s="7">
        <f t="shared" si="77"/>
        <v>0.4</v>
      </c>
      <c r="P167" s="21">
        <v>19</v>
      </c>
      <c r="Q167" s="7">
        <f t="shared" si="78"/>
        <v>0.36</v>
      </c>
      <c r="R167" s="11">
        <v>220819.817076047</v>
      </c>
      <c r="S167" s="7">
        <f t="shared" si="79"/>
        <v>0.67</v>
      </c>
      <c r="T167" s="11">
        <v>5520.49542690117</v>
      </c>
      <c r="U167" s="7">
        <f t="shared" si="80"/>
        <v>0.67</v>
      </c>
      <c r="V167" s="11">
        <f t="shared" si="56"/>
        <v>4.34988133184263</v>
      </c>
      <c r="W167" s="7">
        <f t="shared" si="81"/>
        <v>0.1</v>
      </c>
      <c r="X167" s="11">
        <v>10</v>
      </c>
      <c r="Y167" s="7">
        <v>0</v>
      </c>
      <c r="Z167" s="11">
        <v>50.7857142857143</v>
      </c>
      <c r="AA167" s="7">
        <f t="shared" si="82"/>
        <v>0.45</v>
      </c>
      <c r="AB167" s="12">
        <f t="shared" si="57"/>
        <v>21.7494066592131</v>
      </c>
      <c r="AC167" s="13">
        <f t="shared" si="83"/>
        <v>0.1</v>
      </c>
    </row>
    <row r="168" spans="1:29">
      <c r="A168" s="14">
        <v>45763</v>
      </c>
      <c r="B168" s="15">
        <v>238600</v>
      </c>
      <c r="C168" s="7">
        <f t="shared" si="71"/>
        <v>0.2</v>
      </c>
      <c r="D168" s="16">
        <v>234</v>
      </c>
      <c r="E168" s="7">
        <f t="shared" si="72"/>
        <v>0.55</v>
      </c>
      <c r="F168" s="17">
        <v>483</v>
      </c>
      <c r="G168" s="7">
        <f t="shared" si="73"/>
        <v>0.55</v>
      </c>
      <c r="H168" s="17">
        <v>216</v>
      </c>
      <c r="I168" s="18">
        <f t="shared" si="74"/>
        <v>0.49</v>
      </c>
      <c r="J168" s="19">
        <v>25.5</v>
      </c>
      <c r="K168" s="18">
        <f t="shared" si="75"/>
        <v>0.36</v>
      </c>
      <c r="L168" s="20">
        <v>6.8</v>
      </c>
      <c r="M168" s="7">
        <f t="shared" si="76"/>
        <v>0.27</v>
      </c>
      <c r="N168" s="19">
        <v>42</v>
      </c>
      <c r="O168" s="7">
        <f t="shared" si="77"/>
        <v>0.29</v>
      </c>
      <c r="P168" s="21">
        <v>19</v>
      </c>
      <c r="Q168" s="7">
        <f t="shared" si="78"/>
        <v>0.36</v>
      </c>
      <c r="R168" s="11">
        <v>189739.033997086</v>
      </c>
      <c r="S168" s="7">
        <f t="shared" si="79"/>
        <v>0.52</v>
      </c>
      <c r="T168" s="11">
        <v>4743.47584992716</v>
      </c>
      <c r="U168" s="7">
        <f t="shared" si="80"/>
        <v>0.52</v>
      </c>
      <c r="V168" s="11">
        <f t="shared" si="56"/>
        <v>6.07380556189454</v>
      </c>
      <c r="W168" s="7">
        <f t="shared" si="81"/>
        <v>0.19</v>
      </c>
      <c r="X168" s="11">
        <v>10</v>
      </c>
      <c r="Y168" s="7">
        <v>0</v>
      </c>
      <c r="Z168" s="11">
        <v>48.343685300207</v>
      </c>
      <c r="AA168" s="7">
        <f t="shared" si="82"/>
        <v>0.42</v>
      </c>
      <c r="AB168" s="12">
        <f t="shared" si="57"/>
        <v>30.3690278094727</v>
      </c>
      <c r="AC168" s="13">
        <f t="shared" si="83"/>
        <v>0.19</v>
      </c>
    </row>
    <row r="169" spans="1:29">
      <c r="A169" s="14">
        <v>45764</v>
      </c>
      <c r="B169" s="15">
        <v>254600</v>
      </c>
      <c r="C169" s="7">
        <f t="shared" si="71"/>
        <v>0.27</v>
      </c>
      <c r="D169" s="16">
        <v>126</v>
      </c>
      <c r="E169" s="7">
        <f t="shared" si="72"/>
        <v>0.18</v>
      </c>
      <c r="F169" s="17">
        <v>268</v>
      </c>
      <c r="G169" s="7">
        <f t="shared" si="73"/>
        <v>0.18</v>
      </c>
      <c r="H169" s="17">
        <v>196</v>
      </c>
      <c r="I169" s="18">
        <f t="shared" si="74"/>
        <v>0.44</v>
      </c>
      <c r="J169" s="19">
        <v>25.2</v>
      </c>
      <c r="K169" s="18">
        <f t="shared" si="75"/>
        <v>0.35</v>
      </c>
      <c r="L169" s="20">
        <v>5.83</v>
      </c>
      <c r="M169" s="7">
        <f t="shared" si="76"/>
        <v>0.22</v>
      </c>
      <c r="N169" s="19">
        <v>41.5</v>
      </c>
      <c r="O169" s="7">
        <f t="shared" si="77"/>
        <v>0.28</v>
      </c>
      <c r="P169" s="21">
        <v>19</v>
      </c>
      <c r="Q169" s="7">
        <f t="shared" si="78"/>
        <v>0.36</v>
      </c>
      <c r="R169" s="11">
        <v>263958.197537993</v>
      </c>
      <c r="S169" s="7">
        <f t="shared" si="79"/>
        <v>0.87</v>
      </c>
      <c r="T169" s="11">
        <v>6598.95493844982</v>
      </c>
      <c r="U169" s="7">
        <f t="shared" si="80"/>
        <v>0.87</v>
      </c>
      <c r="V169" s="11">
        <f t="shared" si="56"/>
        <v>2.58498507098568</v>
      </c>
      <c r="W169" s="7">
        <f t="shared" si="81"/>
        <v>0.01</v>
      </c>
      <c r="X169" s="11">
        <v>10</v>
      </c>
      <c r="Y169" s="7">
        <v>0</v>
      </c>
      <c r="Z169" s="11">
        <v>46.5298507462687</v>
      </c>
      <c r="AA169" s="7">
        <f t="shared" si="82"/>
        <v>0.4</v>
      </c>
      <c r="AB169" s="12">
        <f t="shared" si="57"/>
        <v>12.9249253549284</v>
      </c>
      <c r="AC169" s="13">
        <f t="shared" si="83"/>
        <v>0.01</v>
      </c>
    </row>
    <row r="170" spans="1:29">
      <c r="A170" s="14">
        <v>45765</v>
      </c>
      <c r="B170" s="15">
        <v>234400</v>
      </c>
      <c r="C170" s="7">
        <f t="shared" si="71"/>
        <v>0.18</v>
      </c>
      <c r="D170" s="16">
        <v>146</v>
      </c>
      <c r="E170" s="7">
        <f t="shared" si="72"/>
        <v>0.25</v>
      </c>
      <c r="F170" s="17">
        <v>300</v>
      </c>
      <c r="G170" s="7">
        <f t="shared" si="73"/>
        <v>0.23</v>
      </c>
      <c r="H170" s="17">
        <v>200</v>
      </c>
      <c r="I170" s="18">
        <f t="shared" si="74"/>
        <v>0.45</v>
      </c>
      <c r="J170" s="19">
        <v>26.4</v>
      </c>
      <c r="K170" s="18">
        <f t="shared" si="75"/>
        <v>0.4</v>
      </c>
      <c r="L170" s="20">
        <v>5.37</v>
      </c>
      <c r="M170" s="7">
        <f t="shared" si="76"/>
        <v>0.19</v>
      </c>
      <c r="N170" s="19">
        <v>29.1</v>
      </c>
      <c r="O170" s="7">
        <f t="shared" si="77"/>
        <v>0.05</v>
      </c>
      <c r="P170" s="21">
        <v>19</v>
      </c>
      <c r="Q170" s="7">
        <f t="shared" si="78"/>
        <v>0.36</v>
      </c>
      <c r="R170" s="11">
        <v>261023.264800708</v>
      </c>
      <c r="S170" s="7">
        <f t="shared" si="79"/>
        <v>0.86</v>
      </c>
      <c r="T170" s="11">
        <v>6525.58162001771</v>
      </c>
      <c r="U170" s="7">
        <f t="shared" si="80"/>
        <v>0.86</v>
      </c>
      <c r="V170" s="11">
        <f t="shared" si="56"/>
        <v>2.69401273689874</v>
      </c>
      <c r="W170" s="7">
        <f t="shared" si="81"/>
        <v>0.02</v>
      </c>
      <c r="X170" s="11">
        <v>10</v>
      </c>
      <c r="Y170" s="7">
        <v>0</v>
      </c>
      <c r="Z170" s="11">
        <v>48.0666666666667</v>
      </c>
      <c r="AA170" s="7">
        <f t="shared" si="82"/>
        <v>0.42</v>
      </c>
      <c r="AB170" s="12">
        <f t="shared" si="57"/>
        <v>13.4700636844937</v>
      </c>
      <c r="AC170" s="13">
        <f t="shared" si="83"/>
        <v>0.02</v>
      </c>
    </row>
    <row r="171" spans="1:29">
      <c r="A171" s="14">
        <v>45766</v>
      </c>
      <c r="B171" s="15">
        <v>227700</v>
      </c>
      <c r="C171" s="7">
        <f t="shared" si="71"/>
        <v>0.15</v>
      </c>
      <c r="D171" s="16">
        <v>124</v>
      </c>
      <c r="E171" s="7">
        <f t="shared" si="72"/>
        <v>0.17</v>
      </c>
      <c r="F171" s="17">
        <v>293</v>
      </c>
      <c r="G171" s="7">
        <f t="shared" si="73"/>
        <v>0.22</v>
      </c>
      <c r="H171" s="17">
        <v>128</v>
      </c>
      <c r="I171" s="18">
        <f t="shared" si="74"/>
        <v>0.28</v>
      </c>
      <c r="J171" s="19">
        <v>27.5</v>
      </c>
      <c r="K171" s="18">
        <f t="shared" si="75"/>
        <v>0.45</v>
      </c>
      <c r="L171" s="20">
        <v>5.33</v>
      </c>
      <c r="M171" s="7">
        <f t="shared" si="76"/>
        <v>0.19</v>
      </c>
      <c r="N171" s="19">
        <v>31.8</v>
      </c>
      <c r="O171" s="7">
        <f t="shared" si="77"/>
        <v>0.1</v>
      </c>
      <c r="P171" s="21">
        <v>19.2</v>
      </c>
      <c r="Q171" s="7">
        <f t="shared" si="78"/>
        <v>0.38</v>
      </c>
      <c r="R171" s="11">
        <v>237299.992299318</v>
      </c>
      <c r="S171" s="7">
        <f t="shared" si="79"/>
        <v>0.74</v>
      </c>
      <c r="T171" s="11">
        <v>5932.49980748294</v>
      </c>
      <c r="U171" s="7">
        <f t="shared" si="80"/>
        <v>0.74</v>
      </c>
      <c r="V171" s="11">
        <f t="shared" si="56"/>
        <v>2.81146658933928</v>
      </c>
      <c r="W171" s="7">
        <f t="shared" si="81"/>
        <v>0.03</v>
      </c>
      <c r="X171" s="11">
        <v>10</v>
      </c>
      <c r="Y171" s="7">
        <v>0</v>
      </c>
      <c r="Z171" s="11">
        <v>41.8771331058021</v>
      </c>
      <c r="AA171" s="7">
        <f t="shared" si="82"/>
        <v>0.34</v>
      </c>
      <c r="AB171" s="12">
        <f t="shared" si="57"/>
        <v>14.0573329466964</v>
      </c>
      <c r="AC171" s="13">
        <f t="shared" si="83"/>
        <v>0.03</v>
      </c>
    </row>
    <row r="172" spans="1:29">
      <c r="A172" s="14">
        <v>45767</v>
      </c>
      <c r="B172" s="15">
        <v>229200</v>
      </c>
      <c r="C172" s="7">
        <f t="shared" si="71"/>
        <v>0.16</v>
      </c>
      <c r="D172" s="16">
        <v>192</v>
      </c>
      <c r="E172" s="7">
        <f t="shared" si="72"/>
        <v>0.4</v>
      </c>
      <c r="F172" s="17">
        <v>389</v>
      </c>
      <c r="G172" s="7">
        <f t="shared" si="73"/>
        <v>0.39</v>
      </c>
      <c r="H172" s="17">
        <v>112</v>
      </c>
      <c r="I172" s="18">
        <f t="shared" si="74"/>
        <v>0.24</v>
      </c>
      <c r="J172" s="19">
        <v>31</v>
      </c>
      <c r="K172" s="18">
        <f t="shared" si="75"/>
        <v>0.61</v>
      </c>
      <c r="L172" s="20">
        <v>4.37</v>
      </c>
      <c r="M172" s="7">
        <f t="shared" si="76"/>
        <v>0.14</v>
      </c>
      <c r="N172" s="19">
        <v>42.5</v>
      </c>
      <c r="O172" s="7">
        <f t="shared" si="77"/>
        <v>0.3</v>
      </c>
      <c r="P172" s="21">
        <v>19.4</v>
      </c>
      <c r="Q172" s="7">
        <f t="shared" si="78"/>
        <v>0.4</v>
      </c>
      <c r="R172" s="11">
        <v>246870.329743663</v>
      </c>
      <c r="S172" s="7">
        <f t="shared" si="79"/>
        <v>0.79</v>
      </c>
      <c r="T172" s="11">
        <v>6171.75824359157</v>
      </c>
      <c r="U172" s="7">
        <f t="shared" si="80"/>
        <v>0.79</v>
      </c>
      <c r="V172" s="11">
        <f t="shared" si="56"/>
        <v>3.61156401794326</v>
      </c>
      <c r="W172" s="7">
        <f t="shared" si="81"/>
        <v>0.07</v>
      </c>
      <c r="X172" s="11">
        <v>10</v>
      </c>
      <c r="Y172" s="7">
        <v>0</v>
      </c>
      <c r="Z172" s="11">
        <v>48.9717223650386</v>
      </c>
      <c r="AA172" s="7">
        <f t="shared" si="82"/>
        <v>0.43</v>
      </c>
      <c r="AB172" s="12">
        <f t="shared" si="57"/>
        <v>18.0578200897163</v>
      </c>
      <c r="AC172" s="13">
        <f t="shared" si="83"/>
        <v>0.07</v>
      </c>
    </row>
    <row r="173" spans="1:29">
      <c r="A173" s="14">
        <v>45768</v>
      </c>
      <c r="B173" s="15">
        <v>223600</v>
      </c>
      <c r="C173" s="7">
        <f t="shared" si="71"/>
        <v>0.13</v>
      </c>
      <c r="D173" s="16">
        <v>190</v>
      </c>
      <c r="E173" s="7">
        <f t="shared" si="72"/>
        <v>0.4</v>
      </c>
      <c r="F173" s="17">
        <v>345</v>
      </c>
      <c r="G173" s="7">
        <f t="shared" si="73"/>
        <v>0.31</v>
      </c>
      <c r="H173" s="17">
        <v>112</v>
      </c>
      <c r="I173" s="18">
        <f t="shared" si="74"/>
        <v>0.24</v>
      </c>
      <c r="J173" s="19">
        <v>31.5</v>
      </c>
      <c r="K173" s="18">
        <f t="shared" si="75"/>
        <v>0.64</v>
      </c>
      <c r="L173" s="20">
        <v>3.83</v>
      </c>
      <c r="M173" s="7">
        <f t="shared" si="76"/>
        <v>0.11</v>
      </c>
      <c r="N173" s="19">
        <v>44</v>
      </c>
      <c r="O173" s="7">
        <f t="shared" si="77"/>
        <v>0.33</v>
      </c>
      <c r="P173" s="21">
        <v>19.7</v>
      </c>
      <c r="Q173" s="7">
        <f t="shared" si="78"/>
        <v>0.42</v>
      </c>
      <c r="R173" s="11">
        <v>231649.212288337</v>
      </c>
      <c r="S173" s="7">
        <f t="shared" si="79"/>
        <v>0.72</v>
      </c>
      <c r="T173" s="11">
        <v>5791.23030720841</v>
      </c>
      <c r="U173" s="7">
        <f t="shared" si="80"/>
        <v>0.72</v>
      </c>
      <c r="V173" s="11">
        <f t="shared" si="56"/>
        <v>3.33012140373611</v>
      </c>
      <c r="W173" s="7">
        <f t="shared" si="81"/>
        <v>0.05</v>
      </c>
      <c r="X173" s="11">
        <v>10</v>
      </c>
      <c r="Y173" s="7">
        <v>0</v>
      </c>
      <c r="Z173" s="11">
        <v>54.6086956521739</v>
      </c>
      <c r="AA173" s="7">
        <f t="shared" si="82"/>
        <v>0.5</v>
      </c>
      <c r="AB173" s="12">
        <f t="shared" si="57"/>
        <v>16.6506070186806</v>
      </c>
      <c r="AC173" s="13">
        <f t="shared" si="83"/>
        <v>0.05</v>
      </c>
    </row>
    <row r="174" spans="1:29">
      <c r="A174" s="14">
        <v>45769</v>
      </c>
      <c r="B174" s="15">
        <v>221100</v>
      </c>
      <c r="C174" s="7">
        <f t="shared" si="71"/>
        <v>0.12</v>
      </c>
      <c r="D174" s="16">
        <v>160</v>
      </c>
      <c r="E174" s="7">
        <f t="shared" si="72"/>
        <v>0.29</v>
      </c>
      <c r="F174" s="17">
        <v>310</v>
      </c>
      <c r="G174" s="7">
        <f t="shared" si="73"/>
        <v>0.25</v>
      </c>
      <c r="H174" s="17">
        <v>200</v>
      </c>
      <c r="I174" s="18">
        <f t="shared" si="74"/>
        <v>0.45</v>
      </c>
      <c r="J174" s="19">
        <v>29.3</v>
      </c>
      <c r="K174" s="18">
        <f t="shared" si="75"/>
        <v>0.53</v>
      </c>
      <c r="L174" s="20">
        <v>3.73</v>
      </c>
      <c r="M174" s="7">
        <f t="shared" si="76"/>
        <v>0.1</v>
      </c>
      <c r="N174" s="19">
        <v>41.7</v>
      </c>
      <c r="O174" s="7">
        <f t="shared" si="77"/>
        <v>0.29</v>
      </c>
      <c r="P174" s="21">
        <v>19.8</v>
      </c>
      <c r="Q174" s="7">
        <f t="shared" si="78"/>
        <v>0.43</v>
      </c>
      <c r="R174" s="11">
        <v>255296.252161104</v>
      </c>
      <c r="S174" s="7">
        <f t="shared" si="79"/>
        <v>0.83</v>
      </c>
      <c r="T174" s="11">
        <v>6382.40630402759</v>
      </c>
      <c r="U174" s="7">
        <f t="shared" si="80"/>
        <v>0.83</v>
      </c>
      <c r="V174" s="11">
        <f t="shared" si="56"/>
        <v>2.68476326698081</v>
      </c>
      <c r="W174" s="7">
        <f t="shared" si="81"/>
        <v>0.02</v>
      </c>
      <c r="X174" s="11">
        <v>10</v>
      </c>
      <c r="Y174" s="7">
        <v>0</v>
      </c>
      <c r="Z174" s="11">
        <v>51.0322580645161</v>
      </c>
      <c r="AA174" s="7">
        <f t="shared" si="82"/>
        <v>0.45</v>
      </c>
      <c r="AB174" s="12">
        <f t="shared" si="57"/>
        <v>13.423816334904</v>
      </c>
      <c r="AC174" s="13">
        <f t="shared" si="83"/>
        <v>0.02</v>
      </c>
    </row>
    <row r="175" spans="1:29">
      <c r="A175" s="14">
        <v>45770</v>
      </c>
      <c r="B175" s="15">
        <v>220500</v>
      </c>
      <c r="C175" s="7">
        <f t="shared" si="71"/>
        <v>0.12</v>
      </c>
      <c r="D175" s="16">
        <v>182</v>
      </c>
      <c r="E175" s="7">
        <f t="shared" si="72"/>
        <v>0.37</v>
      </c>
      <c r="F175" s="17">
        <v>303</v>
      </c>
      <c r="G175" s="7">
        <f t="shared" si="73"/>
        <v>0.24</v>
      </c>
      <c r="H175" s="17">
        <v>216</v>
      </c>
      <c r="I175" s="18">
        <f t="shared" si="74"/>
        <v>0.49</v>
      </c>
      <c r="J175" s="19">
        <v>32.3</v>
      </c>
      <c r="K175" s="18">
        <f t="shared" si="75"/>
        <v>0.67</v>
      </c>
      <c r="L175" s="20">
        <v>6.4</v>
      </c>
      <c r="M175" s="7">
        <f t="shared" si="76"/>
        <v>0.25</v>
      </c>
      <c r="N175" s="19">
        <v>49</v>
      </c>
      <c r="O175" s="7">
        <f t="shared" si="77"/>
        <v>0.43</v>
      </c>
      <c r="P175" s="21">
        <v>19.9</v>
      </c>
      <c r="Q175" s="7">
        <f t="shared" si="78"/>
        <v>0.44</v>
      </c>
      <c r="R175" s="11">
        <v>216465.394810924</v>
      </c>
      <c r="S175" s="7">
        <f t="shared" si="79"/>
        <v>0.65</v>
      </c>
      <c r="T175" s="11">
        <v>5411.6348702731</v>
      </c>
      <c r="U175" s="7">
        <f t="shared" si="80"/>
        <v>0.65</v>
      </c>
      <c r="V175" s="11">
        <f t="shared" si="56"/>
        <v>3.08647486395494</v>
      </c>
      <c r="W175" s="7">
        <f t="shared" si="81"/>
        <v>0.04</v>
      </c>
      <c r="X175" s="11">
        <v>10</v>
      </c>
      <c r="Y175" s="7">
        <v>0</v>
      </c>
      <c r="Z175" s="11">
        <v>59.6699669966997</v>
      </c>
      <c r="AA175" s="7">
        <f t="shared" si="82"/>
        <v>0.56</v>
      </c>
      <c r="AB175" s="12">
        <f t="shared" si="57"/>
        <v>15.4323743197747</v>
      </c>
      <c r="AC175" s="13">
        <f t="shared" si="83"/>
        <v>0.04</v>
      </c>
    </row>
    <row r="176" spans="1:29">
      <c r="A176" s="14">
        <v>45771</v>
      </c>
      <c r="B176" s="15">
        <v>213000</v>
      </c>
      <c r="C176" s="7">
        <f t="shared" si="71"/>
        <v>0.08</v>
      </c>
      <c r="D176" s="16">
        <v>224</v>
      </c>
      <c r="E176" s="7">
        <f t="shared" si="72"/>
        <v>0.51</v>
      </c>
      <c r="F176" s="17">
        <v>423</v>
      </c>
      <c r="G176" s="7">
        <f t="shared" si="73"/>
        <v>0.45</v>
      </c>
      <c r="H176" s="17">
        <v>176</v>
      </c>
      <c r="I176" s="18">
        <f t="shared" si="74"/>
        <v>0.39</v>
      </c>
      <c r="J176" s="19">
        <v>32.8</v>
      </c>
      <c r="K176" s="18">
        <f t="shared" si="75"/>
        <v>0.7</v>
      </c>
      <c r="L176" s="20">
        <v>4.4</v>
      </c>
      <c r="M176" s="7">
        <f t="shared" si="76"/>
        <v>0.14</v>
      </c>
      <c r="N176" s="19">
        <v>34.4</v>
      </c>
      <c r="O176" s="7">
        <f t="shared" si="77"/>
        <v>0.15</v>
      </c>
      <c r="P176" s="21">
        <v>19.9</v>
      </c>
      <c r="Q176" s="7">
        <f t="shared" si="78"/>
        <v>0.44</v>
      </c>
      <c r="R176" s="11">
        <v>291482.450588664</v>
      </c>
      <c r="S176" s="7">
        <f t="shared" si="79"/>
        <v>1</v>
      </c>
      <c r="T176" s="11">
        <v>7287.0612647166</v>
      </c>
      <c r="U176" s="7">
        <f t="shared" si="80"/>
        <v>1</v>
      </c>
      <c r="V176" s="11">
        <f t="shared" si="56"/>
        <v>3.09106087924128</v>
      </c>
      <c r="W176" s="7">
        <f t="shared" si="81"/>
        <v>0.04</v>
      </c>
      <c r="X176" s="11">
        <v>10</v>
      </c>
      <c r="Y176" s="7">
        <v>0</v>
      </c>
      <c r="Z176" s="11">
        <v>52.5295508274232</v>
      </c>
      <c r="AA176" s="7">
        <f t="shared" si="82"/>
        <v>0.47</v>
      </c>
      <c r="AB176" s="12">
        <f t="shared" si="57"/>
        <v>15.4553043962064</v>
      </c>
      <c r="AC176" s="13">
        <f t="shared" si="83"/>
        <v>0.04</v>
      </c>
    </row>
    <row r="177" spans="1:29">
      <c r="A177" s="14">
        <v>45772</v>
      </c>
      <c r="B177" s="15">
        <v>218400</v>
      </c>
      <c r="C177" s="7">
        <f t="shared" si="71"/>
        <v>0.11</v>
      </c>
      <c r="D177" s="16">
        <v>163</v>
      </c>
      <c r="E177" s="7">
        <f t="shared" si="72"/>
        <v>0.3</v>
      </c>
      <c r="F177" s="17">
        <v>331</v>
      </c>
      <c r="G177" s="7">
        <f t="shared" si="73"/>
        <v>0.29</v>
      </c>
      <c r="H177" s="17">
        <v>196</v>
      </c>
      <c r="I177" s="18">
        <f t="shared" si="74"/>
        <v>0.44</v>
      </c>
      <c r="J177" s="19">
        <v>37.4</v>
      </c>
      <c r="K177" s="18">
        <f t="shared" si="75"/>
        <v>0.91</v>
      </c>
      <c r="L177" s="20">
        <v>4.44</v>
      </c>
      <c r="M177" s="7">
        <f t="shared" si="76"/>
        <v>0.14</v>
      </c>
      <c r="N177" s="19">
        <v>40.9</v>
      </c>
      <c r="O177" s="7">
        <f t="shared" si="77"/>
        <v>0.27</v>
      </c>
      <c r="P177" s="21">
        <v>19.8</v>
      </c>
      <c r="Q177" s="7">
        <f t="shared" si="78"/>
        <v>0.43</v>
      </c>
      <c r="R177" s="11">
        <v>247264.092956932</v>
      </c>
      <c r="S177" s="7">
        <f t="shared" si="79"/>
        <v>0.79</v>
      </c>
      <c r="T177" s="11">
        <v>6181.6023239233</v>
      </c>
      <c r="U177" s="7">
        <f t="shared" si="80"/>
        <v>0.79</v>
      </c>
      <c r="V177" s="11">
        <f t="shared" si="56"/>
        <v>2.9236109107274</v>
      </c>
      <c r="W177" s="7">
        <f t="shared" si="81"/>
        <v>0.03</v>
      </c>
      <c r="X177" s="11">
        <v>10</v>
      </c>
      <c r="Y177" s="7">
        <v>0</v>
      </c>
      <c r="Z177" s="11">
        <v>48.761329305136</v>
      </c>
      <c r="AA177" s="7">
        <f t="shared" si="82"/>
        <v>0.43</v>
      </c>
      <c r="AB177" s="12">
        <f t="shared" si="57"/>
        <v>14.618054553637</v>
      </c>
      <c r="AC177" s="13">
        <f t="shared" si="83"/>
        <v>0.03</v>
      </c>
    </row>
    <row r="178" spans="1:29">
      <c r="A178" s="14">
        <v>45773</v>
      </c>
      <c r="B178" s="15">
        <v>238200</v>
      </c>
      <c r="C178" s="7">
        <f t="shared" si="71"/>
        <v>0.2</v>
      </c>
      <c r="D178" s="16">
        <v>142</v>
      </c>
      <c r="E178" s="7">
        <f t="shared" si="72"/>
        <v>0.23</v>
      </c>
      <c r="F178" s="17">
        <v>333</v>
      </c>
      <c r="G178" s="7">
        <f t="shared" si="73"/>
        <v>0.29</v>
      </c>
      <c r="H178" s="17">
        <v>168</v>
      </c>
      <c r="I178" s="18">
        <f t="shared" si="74"/>
        <v>0.38</v>
      </c>
      <c r="J178" s="19">
        <v>37.2</v>
      </c>
      <c r="K178" s="18">
        <f t="shared" si="75"/>
        <v>0.9</v>
      </c>
      <c r="L178" s="20">
        <v>4.3</v>
      </c>
      <c r="M178" s="7">
        <f t="shared" si="76"/>
        <v>0.13</v>
      </c>
      <c r="N178" s="19">
        <v>45.5</v>
      </c>
      <c r="O178" s="7">
        <f t="shared" si="77"/>
        <v>0.36</v>
      </c>
      <c r="P178" s="21">
        <v>19.8</v>
      </c>
      <c r="Q178" s="7">
        <f t="shared" si="78"/>
        <v>0.43</v>
      </c>
      <c r="R178" s="11">
        <v>243886.926484471</v>
      </c>
      <c r="S178" s="7">
        <f t="shared" si="79"/>
        <v>0.77</v>
      </c>
      <c r="T178" s="11">
        <v>6097.17316211179</v>
      </c>
      <c r="U178" s="7">
        <f t="shared" si="80"/>
        <v>0.77</v>
      </c>
      <c r="V178" s="11">
        <f t="shared" si="56"/>
        <v>3.25235145415022</v>
      </c>
      <c r="W178" s="7">
        <f t="shared" si="81"/>
        <v>0.05</v>
      </c>
      <c r="X178" s="11">
        <v>10</v>
      </c>
      <c r="Y178" s="7">
        <v>0</v>
      </c>
      <c r="Z178" s="11">
        <v>42.2522522522522</v>
      </c>
      <c r="AA178" s="7">
        <f t="shared" si="82"/>
        <v>0.34</v>
      </c>
      <c r="AB178" s="12">
        <f t="shared" si="57"/>
        <v>16.2617572707511</v>
      </c>
      <c r="AC178" s="13">
        <f t="shared" si="83"/>
        <v>0.05</v>
      </c>
    </row>
    <row r="179" spans="1:29">
      <c r="A179" s="14">
        <v>45774</v>
      </c>
      <c r="B179" s="15">
        <v>240300</v>
      </c>
      <c r="C179" s="7">
        <f t="shared" si="71"/>
        <v>0.21</v>
      </c>
      <c r="D179" s="16">
        <v>242</v>
      </c>
      <c r="E179" s="7">
        <f t="shared" si="72"/>
        <v>0.57</v>
      </c>
      <c r="F179" s="17">
        <v>492</v>
      </c>
      <c r="G179" s="7">
        <f t="shared" si="73"/>
        <v>0.57</v>
      </c>
      <c r="H179" s="17">
        <v>356</v>
      </c>
      <c r="I179" s="18">
        <f t="shared" si="74"/>
        <v>0.83</v>
      </c>
      <c r="J179" s="19">
        <v>39.4</v>
      </c>
      <c r="K179" s="18">
        <f t="shared" si="75"/>
        <v>1</v>
      </c>
      <c r="L179" s="20">
        <v>8.27</v>
      </c>
      <c r="M179" s="7">
        <f t="shared" si="76"/>
        <v>0.36</v>
      </c>
      <c r="N179" s="19">
        <v>47.8</v>
      </c>
      <c r="O179" s="7">
        <f t="shared" si="77"/>
        <v>0.4</v>
      </c>
      <c r="P179" s="21">
        <v>19.7</v>
      </c>
      <c r="Q179" s="7">
        <f t="shared" si="78"/>
        <v>0.42</v>
      </c>
      <c r="R179" s="11">
        <v>203076.663272293</v>
      </c>
      <c r="S179" s="7">
        <f t="shared" si="79"/>
        <v>0.58</v>
      </c>
      <c r="T179" s="11">
        <v>5076.91658180732</v>
      </c>
      <c r="U179" s="7">
        <f t="shared" si="80"/>
        <v>0.58</v>
      </c>
      <c r="V179" s="11">
        <f t="shared" si="56"/>
        <v>5.82182108445794</v>
      </c>
      <c r="W179" s="7">
        <f t="shared" si="81"/>
        <v>0.18</v>
      </c>
      <c r="X179" s="11">
        <v>10</v>
      </c>
      <c r="Y179" s="7">
        <v>0</v>
      </c>
      <c r="Z179" s="11">
        <v>48.9634146341463</v>
      </c>
      <c r="AA179" s="7">
        <f t="shared" si="82"/>
        <v>0.43</v>
      </c>
      <c r="AB179" s="12">
        <f t="shared" si="57"/>
        <v>29.1091054222897</v>
      </c>
      <c r="AC179" s="13">
        <f t="shared" si="83"/>
        <v>0.18</v>
      </c>
    </row>
    <row r="180" spans="1:29">
      <c r="A180" s="14">
        <v>45775</v>
      </c>
      <c r="B180" s="15">
        <v>241200</v>
      </c>
      <c r="C180" s="7">
        <f t="shared" si="71"/>
        <v>0.21</v>
      </c>
      <c r="D180" s="16">
        <v>144</v>
      </c>
      <c r="E180" s="7">
        <f t="shared" si="72"/>
        <v>0.24</v>
      </c>
      <c r="F180" s="17">
        <v>324</v>
      </c>
      <c r="G180" s="7">
        <f t="shared" si="73"/>
        <v>0.28</v>
      </c>
      <c r="H180" s="17">
        <v>284</v>
      </c>
      <c r="I180" s="18">
        <f t="shared" si="74"/>
        <v>0.65</v>
      </c>
      <c r="J180" s="19">
        <v>29.5</v>
      </c>
      <c r="K180" s="18">
        <f t="shared" si="75"/>
        <v>0.54</v>
      </c>
      <c r="L180" s="20">
        <v>4.17</v>
      </c>
      <c r="M180" s="7">
        <f t="shared" si="76"/>
        <v>0.13</v>
      </c>
      <c r="N180" s="19">
        <v>42.8</v>
      </c>
      <c r="O180" s="7">
        <f t="shared" si="77"/>
        <v>0.31</v>
      </c>
      <c r="P180" s="21">
        <v>19.5</v>
      </c>
      <c r="Q180" s="7">
        <f t="shared" si="78"/>
        <v>0.41</v>
      </c>
      <c r="R180" s="11">
        <v>201569.018255638</v>
      </c>
      <c r="S180" s="7">
        <f t="shared" si="79"/>
        <v>0.57</v>
      </c>
      <c r="T180" s="11">
        <v>5039.22545639096</v>
      </c>
      <c r="U180" s="7">
        <f t="shared" si="80"/>
        <v>0.57</v>
      </c>
      <c r="V180" s="11">
        <f t="shared" si="56"/>
        <v>3.87702438977444</v>
      </c>
      <c r="W180" s="7">
        <f t="shared" si="81"/>
        <v>0.08</v>
      </c>
      <c r="X180" s="11">
        <v>10</v>
      </c>
      <c r="Y180" s="7">
        <v>0</v>
      </c>
      <c r="Z180" s="11">
        <v>43.8888888888889</v>
      </c>
      <c r="AA180" s="7">
        <f t="shared" si="82"/>
        <v>0.36</v>
      </c>
      <c r="AB180" s="12">
        <f t="shared" si="57"/>
        <v>19.3851219488722</v>
      </c>
      <c r="AC180" s="13">
        <f t="shared" si="83"/>
        <v>0.08</v>
      </c>
    </row>
    <row r="181" spans="1:29">
      <c r="A181" s="14">
        <v>45776</v>
      </c>
      <c r="B181" s="15">
        <v>275800</v>
      </c>
      <c r="C181" s="7">
        <f t="shared" si="71"/>
        <v>0.37</v>
      </c>
      <c r="D181" s="16">
        <v>120</v>
      </c>
      <c r="E181" s="7">
        <f t="shared" si="72"/>
        <v>0.16</v>
      </c>
      <c r="F181" s="17">
        <v>290</v>
      </c>
      <c r="G181" s="7">
        <f t="shared" si="73"/>
        <v>0.22</v>
      </c>
      <c r="H181" s="17">
        <v>196</v>
      </c>
      <c r="I181" s="18">
        <f t="shared" si="74"/>
        <v>0.44</v>
      </c>
      <c r="J181" s="19">
        <v>31</v>
      </c>
      <c r="K181" s="18">
        <f t="shared" si="75"/>
        <v>0.61</v>
      </c>
      <c r="L181" s="20">
        <v>5.2</v>
      </c>
      <c r="M181" s="7">
        <f t="shared" si="76"/>
        <v>0.18</v>
      </c>
      <c r="N181" s="19">
        <v>41.3</v>
      </c>
      <c r="O181" s="7">
        <f t="shared" si="77"/>
        <v>0.28</v>
      </c>
      <c r="P181" s="21">
        <v>19.4</v>
      </c>
      <c r="Q181" s="7">
        <f t="shared" si="78"/>
        <v>0.4</v>
      </c>
      <c r="R181" s="11">
        <v>192211.018685937</v>
      </c>
      <c r="S181" s="7">
        <f t="shared" si="79"/>
        <v>0.53</v>
      </c>
      <c r="T181" s="11">
        <v>4805.27546714842</v>
      </c>
      <c r="U181" s="7">
        <f t="shared" si="80"/>
        <v>0.53</v>
      </c>
      <c r="V181" s="11">
        <f t="shared" si="56"/>
        <v>4.16115582482223</v>
      </c>
      <c r="W181" s="7">
        <f t="shared" si="81"/>
        <v>0.09</v>
      </c>
      <c r="X181" s="11">
        <v>10</v>
      </c>
      <c r="Y181" s="7">
        <v>0</v>
      </c>
      <c r="Z181" s="11">
        <v>40.5862068965517</v>
      </c>
      <c r="AA181" s="7">
        <f t="shared" si="82"/>
        <v>0.32</v>
      </c>
      <c r="AB181" s="12">
        <f t="shared" si="57"/>
        <v>20.8057791241111</v>
      </c>
      <c r="AC181" s="13">
        <f t="shared" si="83"/>
        <v>0.09</v>
      </c>
    </row>
    <row r="182" spans="1:29">
      <c r="A182" s="14">
        <v>45777</v>
      </c>
      <c r="B182" s="15">
        <v>283300</v>
      </c>
      <c r="C182" s="7">
        <f t="shared" si="71"/>
        <v>0.4</v>
      </c>
      <c r="D182" s="16">
        <v>150</v>
      </c>
      <c r="E182" s="7">
        <f t="shared" si="72"/>
        <v>0.26</v>
      </c>
      <c r="F182" s="17">
        <v>271</v>
      </c>
      <c r="G182" s="7">
        <f t="shared" si="73"/>
        <v>0.18</v>
      </c>
      <c r="H182" s="17">
        <v>184</v>
      </c>
      <c r="I182" s="18">
        <f t="shared" si="74"/>
        <v>0.41</v>
      </c>
      <c r="J182" s="19">
        <v>35.9</v>
      </c>
      <c r="K182" s="18">
        <f t="shared" si="75"/>
        <v>0.84</v>
      </c>
      <c r="L182" s="20">
        <v>5.36</v>
      </c>
      <c r="M182" s="7">
        <f t="shared" si="76"/>
        <v>0.19</v>
      </c>
      <c r="N182" s="19">
        <v>40.6</v>
      </c>
      <c r="O182" s="7">
        <f t="shared" si="77"/>
        <v>0.27</v>
      </c>
      <c r="P182" s="21">
        <v>19.4</v>
      </c>
      <c r="Q182" s="7">
        <f t="shared" si="78"/>
        <v>0.4</v>
      </c>
      <c r="R182" s="11">
        <v>198795.288129209</v>
      </c>
      <c r="S182" s="7">
        <f t="shared" si="79"/>
        <v>0.56</v>
      </c>
      <c r="T182" s="11">
        <v>4969.88220323024</v>
      </c>
      <c r="U182" s="7">
        <f t="shared" si="80"/>
        <v>0.56</v>
      </c>
      <c r="V182" s="11">
        <f t="shared" si="56"/>
        <v>3.86197785282011</v>
      </c>
      <c r="W182" s="7">
        <f t="shared" si="81"/>
        <v>0.08</v>
      </c>
      <c r="X182" s="11">
        <v>10</v>
      </c>
      <c r="Y182" s="7">
        <v>0</v>
      </c>
      <c r="Z182" s="11">
        <v>54.7232472324723</v>
      </c>
      <c r="AA182" s="7">
        <f t="shared" si="82"/>
        <v>0.5</v>
      </c>
      <c r="AB182" s="12">
        <f t="shared" si="57"/>
        <v>19.3098892641006</v>
      </c>
      <c r="AC182" s="13">
        <f t="shared" si="83"/>
        <v>0.08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WPS_1752715311</cp:lastModifiedBy>
  <dcterms:created xsi:type="dcterms:W3CDTF">2026-07-28T08:55:00Z</dcterms:created>
  <dcterms:modified xsi:type="dcterms:W3CDTF">2026-07-29T00:54:01Z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4D9C91F9556B439CB414FB1B0960D973_11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